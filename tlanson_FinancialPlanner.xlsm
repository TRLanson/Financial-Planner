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6.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trlProps/ctrlProp27.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tarol\OneDrive\Documents\MSE 100\Individual Term Project\Final Submission\"/>
    </mc:Choice>
  </mc:AlternateContent>
  <xr:revisionPtr revIDLastSave="0" documentId="8_{7A341DDF-67A6-49CC-A2E2-A1601885B472}" xr6:coauthVersionLast="47" xr6:coauthVersionMax="47" xr10:uidLastSave="{00000000-0000-0000-0000-000000000000}"/>
  <bookViews>
    <workbookView xWindow="-108" yWindow="-108" windowWidth="23256" windowHeight="12456" xr2:uid="{00000000-000D-0000-FFFF-FFFF00000000}"/>
  </bookViews>
  <sheets>
    <sheet name="Dashboard" sheetId="5" r:id="rId1"/>
    <sheet name="Expenses" sheetId="1" r:id="rId2"/>
    <sheet name="Income&amp;Goals" sheetId="4" r:id="rId3"/>
    <sheet name="Expected Spending" sheetId="6" r:id="rId4"/>
    <sheet name="Financial Advice" sheetId="3" r:id="rId5"/>
  </sheets>
  <definedNames>
    <definedName name="_xleta.IF" hidden="1" xlm="1">#NAME?</definedName>
    <definedName name="_xleta.SUM" hidden="1" xlm="1">#NAME?</definedName>
    <definedName name="Slicer_Category">#N/A</definedName>
  </definedNames>
  <calcPr calcId="191028"/>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6" l="1"/>
  <c r="B13" i="6"/>
  <c r="L9" i="1"/>
  <c r="L8" i="1"/>
  <c r="P8" i="4" s="1"/>
  <c r="F4" i="1"/>
  <c r="F5" i="1"/>
  <c r="F6" i="1"/>
  <c r="F7" i="1"/>
  <c r="F8" i="1"/>
  <c r="F9" i="1"/>
  <c r="F10" i="1"/>
  <c r="F11" i="1"/>
  <c r="F12" i="1"/>
  <c r="F13" i="1"/>
  <c r="F14" i="1"/>
  <c r="F15" i="1"/>
  <c r="F16" i="1"/>
  <c r="H29" i="4"/>
  <c r="D29" i="4"/>
  <c r="I8" i="4" s="1"/>
  <c r="O10" i="4"/>
  <c r="O9" i="4"/>
  <c r="O8" i="4"/>
  <c r="O7" i="4"/>
  <c r="O6" i="4"/>
  <c r="O5" i="4"/>
  <c r="O4" i="4"/>
  <c r="L11" i="1"/>
  <c r="P10" i="4" s="1"/>
  <c r="L10" i="1"/>
  <c r="P9" i="4" s="1"/>
  <c r="L7" i="1"/>
  <c r="P7" i="4" s="1"/>
  <c r="L6" i="1"/>
  <c r="P6" i="4" s="1"/>
  <c r="L5" i="1"/>
  <c r="P5" i="4" s="1"/>
  <c r="L4" i="1"/>
  <c r="P4" i="4" s="1"/>
  <c r="I11" i="4" l="1"/>
  <c r="I15" i="4"/>
  <c r="I22" i="4"/>
  <c r="I6" i="4"/>
  <c r="I21" i="4"/>
  <c r="I5" i="4"/>
  <c r="I20" i="4"/>
  <c r="I12" i="4"/>
  <c r="I4" i="4"/>
  <c r="I19" i="4"/>
  <c r="I26" i="4"/>
  <c r="I18" i="4"/>
  <c r="I10" i="4"/>
  <c r="I13" i="4"/>
  <c r="I25" i="4"/>
  <c r="I17" i="4"/>
  <c r="I9" i="4"/>
  <c r="I23" i="4"/>
  <c r="I7" i="4"/>
  <c r="I14" i="4"/>
  <c r="I24" i="4"/>
  <c r="I16" i="4"/>
  <c r="P12" i="4"/>
</calcChain>
</file>

<file path=xl/sharedStrings.xml><?xml version="1.0" encoding="utf-8"?>
<sst xmlns="http://schemas.openxmlformats.org/spreadsheetml/2006/main" count="70" uniqueCount="44">
  <si>
    <t>Date</t>
  </si>
  <si>
    <t>Item</t>
  </si>
  <si>
    <t>Category</t>
  </si>
  <si>
    <t>Description</t>
  </si>
  <si>
    <t>Financial Advice</t>
  </si>
  <si>
    <t>Entertainment</t>
  </si>
  <si>
    <t>Bills</t>
  </si>
  <si>
    <t>Grand Total</t>
  </si>
  <si>
    <t>Row Labels</t>
  </si>
  <si>
    <t>Sum of Description</t>
  </si>
  <si>
    <t>Source</t>
  </si>
  <si>
    <t>Paid</t>
  </si>
  <si>
    <t>Due Date</t>
  </si>
  <si>
    <t>Column Labels</t>
  </si>
  <si>
    <t>(blank)</t>
  </si>
  <si>
    <t>Categories</t>
  </si>
  <si>
    <t>Cost Sum</t>
  </si>
  <si>
    <t>Shopping</t>
  </si>
  <si>
    <t>Other</t>
  </si>
  <si>
    <t>Dashboard/Overview</t>
  </si>
  <si>
    <t>Expenses</t>
  </si>
  <si>
    <t>Tuition</t>
  </si>
  <si>
    <t>Utilities</t>
  </si>
  <si>
    <t>Rent</t>
  </si>
  <si>
    <t>Monetary Goal</t>
  </si>
  <si>
    <t>Total Expenses:</t>
  </si>
  <si>
    <t>Achievement Status</t>
  </si>
  <si>
    <t>Total Income:</t>
  </si>
  <si>
    <t>Income &amp; Goals</t>
  </si>
  <si>
    <t>Total Goal:</t>
  </si>
  <si>
    <t>Status</t>
  </si>
  <si>
    <t>Apples</t>
  </si>
  <si>
    <t>Groceries</t>
  </si>
  <si>
    <t>Shoes</t>
  </si>
  <si>
    <t>Movie Tickets</t>
  </si>
  <si>
    <t>Side Salary 1</t>
  </si>
  <si>
    <t>Work</t>
  </si>
  <si>
    <t>Expected Spending vs Actual Spending</t>
  </si>
  <si>
    <t>Expected Spending</t>
  </si>
  <si>
    <t>Actual Spending</t>
  </si>
  <si>
    <t>Sum</t>
  </si>
  <si>
    <t>Main Salary</t>
  </si>
  <si>
    <t>Academics</t>
  </si>
  <si>
    <t>OSAP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</si>
</sst>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quot;$&quot;#,##0.00_);\(&quot;$&quot;#,##0.00\)"/>
    <numFmt numFmtId="164" formatCode="yyyy\-mm\-dd;@"/>
    <numFmt numFmtId="165" formatCode="[$-F800]dddd\,\ mmmm\ dd\,\ yyyy"/>
    <numFmt numFmtId="166" formatCode="&quot;$&quot;#,##0.00"/>
  </numFmts>
  <fonts count="10" x14ac:knownFonts="1">
    <font>
      <sz val="11"/>
      <color theme="1"/>
      <name val="Calibri"/>
      <family val="2"/>
      <scheme val="minor"/>
    </font>
    <font>
      <sz val="11"/>
      <color theme="0"/>
      <name val="Calibri"/>
      <family val="2"/>
      <scheme val="minor"/>
    </font>
    <font>
      <sz val="8"/>
      <name val="Calibri"/>
      <family val="2"/>
      <scheme val="minor"/>
    </font>
    <font>
      <sz val="11"/>
      <color theme="9" tint="0.79998168889431442"/>
      <name val="Calibri"/>
      <family val="2"/>
      <scheme val="minor"/>
    </font>
    <font>
      <sz val="24"/>
      <color theme="0"/>
      <name val="Calibri"/>
      <family val="2"/>
      <scheme val="minor"/>
    </font>
    <font>
      <sz val="26"/>
      <color theme="0"/>
      <name val="Calibri"/>
      <family val="2"/>
      <scheme val="minor"/>
    </font>
    <font>
      <sz val="11"/>
      <name val="Calibri"/>
      <family val="2"/>
      <scheme val="minor"/>
    </font>
    <font>
      <b/>
      <sz val="11"/>
      <name val="Calibri"/>
      <family val="2"/>
      <scheme val="minor"/>
    </font>
    <font>
      <sz val="11"/>
      <color rgb="FF000000"/>
      <name val="Calibri"/>
      <family val="2"/>
    </font>
    <font>
      <sz val="22"/>
      <color theme="0"/>
      <name val="Calibri"/>
      <family val="2"/>
      <scheme val="minor"/>
    </font>
  </fonts>
  <fills count="11">
    <fill>
      <patternFill patternType="none"/>
    </fill>
    <fill>
      <patternFill patternType="gray125"/>
    </fill>
    <fill>
      <patternFill patternType="solid">
        <fgColor theme="8"/>
      </patternFill>
    </fill>
    <fill>
      <patternFill patternType="solid">
        <fgColor theme="9" tint="0.79998168889431442"/>
        <bgColor indexed="64"/>
      </patternFill>
    </fill>
    <fill>
      <patternFill patternType="solid">
        <fgColor theme="9" tint="-0.499984740745262"/>
        <bgColor indexed="64"/>
      </patternFill>
    </fill>
    <fill>
      <patternFill patternType="solid">
        <fgColor theme="0"/>
        <bgColor theme="4" tint="0.79998168889431442"/>
      </patternFill>
    </fill>
    <fill>
      <patternFill patternType="solid">
        <fgColor theme="0"/>
        <bgColor theme="4"/>
      </patternFill>
    </fill>
    <fill>
      <patternFill patternType="solid">
        <fgColor theme="9" tint="0.59999389629810485"/>
        <bgColor theme="4" tint="0.79998168889431442"/>
      </patternFill>
    </fill>
    <fill>
      <patternFill patternType="solid">
        <fgColor theme="9" tint="0.39997558519241921"/>
        <bgColor indexed="64"/>
      </patternFill>
    </fill>
    <fill>
      <patternFill patternType="solid">
        <fgColor theme="9" tint="0.79998168889431442"/>
        <bgColor theme="9" tint="0.79998168889431442"/>
      </patternFill>
    </fill>
    <fill>
      <patternFill patternType="solid">
        <fgColor theme="9" tint="0.79998168889431442"/>
        <bgColor theme="4" tint="0.79998168889431442"/>
      </patternFill>
    </fill>
  </fills>
  <borders count="5">
    <border>
      <left/>
      <right/>
      <top/>
      <bottom/>
      <diagonal/>
    </border>
    <border>
      <left style="thin">
        <color rgb="FFB2B2B2"/>
      </left>
      <right style="thin">
        <color rgb="FFB2B2B2"/>
      </right>
      <top/>
      <bottom style="thin">
        <color rgb="FFB2B2B2"/>
      </bottom>
      <diagonal/>
    </border>
    <border>
      <left/>
      <right/>
      <top style="thin">
        <color theme="4" tint="0.39997558519241921"/>
      </top>
      <bottom/>
      <diagonal/>
    </border>
    <border>
      <left style="thin">
        <color theme="9"/>
      </left>
      <right style="thin">
        <color theme="9"/>
      </right>
      <top style="thin">
        <color theme="9"/>
      </top>
      <bottom style="thin">
        <color theme="9"/>
      </bottom>
      <diagonal/>
    </border>
    <border>
      <left style="thin">
        <color theme="9"/>
      </left>
      <right style="thin">
        <color theme="9"/>
      </right>
      <top style="thin">
        <color theme="4" tint="0.39997558519241921"/>
      </top>
      <bottom style="thin">
        <color theme="9"/>
      </bottom>
      <diagonal/>
    </border>
  </borders>
  <cellStyleXfs count="2">
    <xf numFmtId="0" fontId="0" fillId="0" borderId="0"/>
    <xf numFmtId="0" fontId="1" fillId="2" borderId="0" applyNumberFormat="0" applyBorder="0" applyAlignment="0" applyProtection="0"/>
  </cellStyleXfs>
  <cellXfs count="35">
    <xf numFmtId="0" fontId="0" fillId="0" borderId="0" xfId="0"/>
    <xf numFmtId="164"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3" borderId="0" xfId="0" applyFill="1"/>
    <xf numFmtId="0" fontId="1" fillId="0" borderId="0" xfId="0" applyFont="1"/>
    <xf numFmtId="0" fontId="3" fillId="3" borderId="0" xfId="0" applyFont="1" applyFill="1"/>
    <xf numFmtId="0" fontId="0" fillId="4" borderId="0" xfId="0" applyFill="1"/>
    <xf numFmtId="0" fontId="5" fillId="4" borderId="0" xfId="0" applyFont="1" applyFill="1"/>
    <xf numFmtId="166" fontId="0" fillId="4" borderId="0" xfId="0" applyNumberFormat="1" applyFill="1"/>
    <xf numFmtId="0" fontId="4" fillId="4" borderId="0" xfId="0" applyFont="1" applyFill="1"/>
    <xf numFmtId="165" fontId="6" fillId="8" borderId="1" xfId="1" applyNumberFormat="1" applyFont="1" applyFill="1" applyBorder="1"/>
    <xf numFmtId="0" fontId="6" fillId="8" borderId="1" xfId="1" applyFont="1" applyFill="1" applyBorder="1"/>
    <xf numFmtId="166" fontId="6" fillId="8" borderId="1" xfId="1" applyNumberFormat="1" applyFont="1" applyFill="1" applyBorder="1"/>
    <xf numFmtId="0" fontId="0" fillId="0" borderId="3" xfId="0" applyBorder="1"/>
    <xf numFmtId="166" fontId="0" fillId="0" borderId="3" xfId="0" applyNumberFormat="1" applyBorder="1"/>
    <xf numFmtId="0" fontId="6" fillId="0" borderId="0" xfId="0" applyFont="1"/>
    <xf numFmtId="0" fontId="6" fillId="4" borderId="0" xfId="0" applyFont="1" applyFill="1"/>
    <xf numFmtId="0" fontId="1" fillId="4" borderId="0" xfId="0" applyFont="1" applyFill="1"/>
    <xf numFmtId="0" fontId="9" fillId="4" borderId="0" xfId="0" applyFont="1" applyFill="1"/>
    <xf numFmtId="0" fontId="0" fillId="7" borderId="2" xfId="0" applyFill="1" applyBorder="1"/>
    <xf numFmtId="0" fontId="0" fillId="0" borderId="2" xfId="0" applyBorder="1"/>
    <xf numFmtId="0" fontId="0" fillId="5" borderId="2" xfId="0" applyFill="1" applyBorder="1"/>
    <xf numFmtId="166" fontId="0" fillId="7" borderId="2" xfId="0" applyNumberFormat="1" applyFill="1" applyBorder="1"/>
    <xf numFmtId="166" fontId="0" fillId="0" borderId="2" xfId="0" applyNumberFormat="1" applyBorder="1"/>
    <xf numFmtId="166" fontId="0" fillId="5" borderId="2" xfId="0" applyNumberFormat="1" applyFill="1" applyBorder="1"/>
    <xf numFmtId="0" fontId="7" fillId="6" borderId="0" xfId="0" applyFont="1" applyFill="1"/>
    <xf numFmtId="166" fontId="7" fillId="6" borderId="0" xfId="0" applyNumberFormat="1" applyFont="1" applyFill="1"/>
    <xf numFmtId="7" fontId="0" fillId="0" borderId="0" xfId="0" applyNumberFormat="1"/>
    <xf numFmtId="166" fontId="1" fillId="4" borderId="0" xfId="0" applyNumberFormat="1" applyFont="1" applyFill="1"/>
    <xf numFmtId="166" fontId="0" fillId="9" borderId="3" xfId="0" applyNumberFormat="1" applyFill="1" applyBorder="1"/>
    <xf numFmtId="7" fontId="0" fillId="9" borderId="3" xfId="0" applyNumberFormat="1" applyFill="1" applyBorder="1"/>
    <xf numFmtId="0" fontId="0" fillId="10" borderId="2" xfId="0" applyFill="1" applyBorder="1"/>
    <xf numFmtId="0" fontId="0" fillId="10" borderId="4" xfId="0" applyFill="1" applyBorder="1"/>
  </cellXfs>
  <cellStyles count="2">
    <cellStyle name="Accent5" xfId="1" builtinId="45"/>
    <cellStyle name="Normal" xfId="0" builtinId="0"/>
  </cellStyles>
  <dxfs count="21">
    <dxf>
      <numFmt numFmtId="166" formatCode="&quot;$&quot;#,##0.0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9" tint="0.59999389629810485"/>
        </patternFill>
      </fill>
      <border diagonalUp="0" diagonalDown="0" outline="0">
        <left/>
        <right/>
        <top style="thin">
          <color theme="4" tint="0.39997558519241921"/>
        </top>
        <bottom/>
      </border>
    </dxf>
    <dxf>
      <numFmt numFmtId="164" formatCode="yyyy\-mm\-dd;@"/>
      <fill>
        <patternFill patternType="none">
          <fgColor indexed="64"/>
          <bgColor auto="1"/>
        </patternFill>
      </fill>
    </dxf>
    <dxf>
      <numFmt numFmtId="166" formatCode="&quot;$&quot;#,##0.00"/>
    </dxf>
    <dxf>
      <numFmt numFmtId="166" formatCode="&quot;$&quot;#,##0.00"/>
    </dxf>
    <dxf>
      <numFmt numFmtId="166" formatCode="&quot;$&quot;#,##0.00"/>
    </dxf>
    <dxf>
      <fill>
        <patternFill>
          <bgColor rgb="FFFF0000"/>
        </patternFill>
      </fill>
    </dxf>
    <dxf>
      <fill>
        <patternFill>
          <bgColor rgb="FF00B050"/>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dxf>
    <dxf>
      <numFmt numFmtId="166" formatCode="&quot;$&quot;#,##0.00"/>
    </dxf>
    <dxf>
      <numFmt numFmtId="164" formatCode="yyyy\-mm\-dd;@"/>
    </dxf>
    <dxf>
      <border outline="0">
        <top style="thin">
          <color rgb="FFB2B2B2"/>
        </top>
      </border>
    </dxf>
    <dxf>
      <border outline="0">
        <bottom style="thin">
          <color rgb="FFB2B2B2"/>
        </bottom>
      </border>
    </dxf>
    <dxf>
      <font>
        <strike val="0"/>
        <outline val="0"/>
        <shadow val="0"/>
        <u val="none"/>
        <vertAlign val="baseline"/>
        <sz val="11"/>
        <color auto="1"/>
        <name val="Calibri"/>
        <family val="2"/>
        <scheme val="minor"/>
      </font>
      <fill>
        <patternFill patternType="solid">
          <fgColor indexed="64"/>
          <bgColor theme="9" tint="0.39997558519241921"/>
        </patternFill>
      </fill>
      <border diagonalUp="0" diagonalDown="0" outline="0">
        <left style="thin">
          <color rgb="FFB2B2B2"/>
        </left>
        <right style="thin">
          <color rgb="FFB2B2B2"/>
        </right>
        <top/>
        <bottom/>
      </border>
    </dxf>
    <dxf>
      <fill>
        <patternFill>
          <bgColor rgb="FFFF0000"/>
        </patternFill>
      </fill>
    </dxf>
    <dxf>
      <fill>
        <patternFill>
          <bgColor rgb="FF00B050"/>
        </patternFill>
      </fill>
    </dxf>
    <dxf>
      <font>
        <b val="0"/>
        <i val="0"/>
      </font>
      <fill>
        <patternFill>
          <bgColor rgb="FFFF0000"/>
        </patternFill>
      </fill>
    </dxf>
    <dxf>
      <numFmt numFmtId="166" formatCode="&quot;$&quot;#,##0.00"/>
    </dxf>
    <dxf>
      <numFmt numFmtId="166" formatCode="&quot;$&quot;#,##0.00"/>
    </dxf>
    <dxf>
      <font>
        <sz val="14"/>
        <color theme="0"/>
        <name val="Agency FB"/>
        <family val="2"/>
        <scheme val="none"/>
      </font>
      <fill>
        <patternFill>
          <bgColor theme="9"/>
        </patternFill>
      </fill>
    </dxf>
  </dxfs>
  <tableStyles count="1" defaultTableStyle="TableStyleMedium2" defaultPivotStyle="PivotStyleLight16">
    <tableStyle name="Slicer Style 1" pivot="0" table="0" count="3" xr9:uid="{9F353DEB-F3EC-4D1C-8E65-0586CA460089}">
      <tableStyleElement type="headerRow" dxfId="20"/>
    </tableStyle>
  </tableStyles>
  <colors>
    <mruColors>
      <color rgb="FFFF3300"/>
    </mruColors>
  </colors>
  <extLst>
    <ext xmlns:x14="http://schemas.microsoft.com/office/spreadsheetml/2009/9/main" uri="{46F421CA-312F-682f-3DD2-61675219B42D}">
      <x14:dxfs count="2">
        <dxf>
          <fill>
            <patternFill>
              <bgColor theme="9" tint="0.59996337778862885"/>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[tlanson_FinancialPlanner.xlsm]Dashboard!PivotTable1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 per Category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Dashboard!$B$3:$B$4</c:f>
              <c:strCache>
                <c:ptCount val="1"/>
                <c:pt idx="0">
                  <c:v>(blank)</c:v>
                </c:pt>
              </c:strCache>
            </c:strRef>
          </c:tx>
          <c:spPr>
            <a:solidFill>
              <a:schemeClr val="accent6">
                <a:tint val="58000"/>
              </a:schemeClr>
            </a:solidFill>
            <a:ln>
              <a:noFill/>
            </a:ln>
            <a:effectLst/>
          </c:spPr>
          <c:invertIfNegative val="0"/>
          <c:cat>
            <c:strRef>
              <c:f>Dashboard!$A$5:$A$9</c:f>
              <c:strCache>
                <c:ptCount val="4"/>
                <c:pt idx="0">
                  <c:v>Shopping</c:v>
                </c:pt>
                <c:pt idx="1">
                  <c:v>(blank)</c:v>
                </c:pt>
                <c:pt idx="2">
                  <c:v>Entertainment</c:v>
                </c:pt>
                <c:pt idx="3">
                  <c:v>Groceries</c:v>
                </c:pt>
              </c:strCache>
            </c:strRef>
          </c:cat>
          <c:val>
            <c:numRef>
              <c:f>Dashboard!$B$5:$B$9</c:f>
              <c:numCache>
                <c:formatCode>General</c:formatCode>
                <c:ptCount val="4"/>
              </c:numCache>
            </c:numRef>
          </c:val>
          <c:extLst>
            <c:ext xmlns:c16="http://schemas.microsoft.com/office/drawing/2014/chart" uri="{C3380CC4-5D6E-409C-BE32-E72D297353CC}">
              <c16:uniqueId val="{00000000-D295-4693-BB7A-B21E52344634}"/>
            </c:ext>
          </c:extLst>
        </c:ser>
        <c:ser>
          <c:idx val="1"/>
          <c:order val="1"/>
          <c:tx>
            <c:strRef>
              <c:f>Dashboard!$C$3:$C$4</c:f>
              <c:strCache>
                <c:ptCount val="1"/>
                <c:pt idx="0">
                  <c:v>Apples</c:v>
                </c:pt>
              </c:strCache>
            </c:strRef>
          </c:tx>
          <c:spPr>
            <a:solidFill>
              <a:schemeClr val="accent6">
                <a:tint val="86000"/>
              </a:schemeClr>
            </a:solidFill>
            <a:ln>
              <a:noFill/>
            </a:ln>
            <a:effectLst/>
          </c:spPr>
          <c:invertIfNegative val="0"/>
          <c:cat>
            <c:strRef>
              <c:f>Dashboard!$A$5:$A$9</c:f>
              <c:strCache>
                <c:ptCount val="4"/>
                <c:pt idx="0">
                  <c:v>Shopping</c:v>
                </c:pt>
                <c:pt idx="1">
                  <c:v>(blank)</c:v>
                </c:pt>
                <c:pt idx="2">
                  <c:v>Entertainment</c:v>
                </c:pt>
                <c:pt idx="3">
                  <c:v>Groceries</c:v>
                </c:pt>
              </c:strCache>
            </c:strRef>
          </c:cat>
          <c:val>
            <c:numRef>
              <c:f>Dashboard!$C$5:$C$9</c:f>
              <c:numCache>
                <c:formatCode>General</c:formatCode>
                <c:ptCount val="4"/>
                <c:pt idx="3">
                  <c:v>12</c:v>
                </c:pt>
              </c:numCache>
            </c:numRef>
          </c:val>
          <c:extLst>
            <c:ext xmlns:c16="http://schemas.microsoft.com/office/drawing/2014/chart" uri="{C3380CC4-5D6E-409C-BE32-E72D297353CC}">
              <c16:uniqueId val="{00000001-AEF2-431B-B823-A11E53035A21}"/>
            </c:ext>
          </c:extLst>
        </c:ser>
        <c:ser>
          <c:idx val="2"/>
          <c:order val="2"/>
          <c:tx>
            <c:strRef>
              <c:f>Dashboard!$D$3:$D$4</c:f>
              <c:strCache>
                <c:ptCount val="1"/>
                <c:pt idx="0">
                  <c:v>Shoes</c:v>
                </c:pt>
              </c:strCache>
            </c:strRef>
          </c:tx>
          <c:spPr>
            <a:solidFill>
              <a:schemeClr val="accent6">
                <a:shade val="86000"/>
              </a:schemeClr>
            </a:solidFill>
            <a:ln>
              <a:noFill/>
            </a:ln>
            <a:effectLst/>
          </c:spPr>
          <c:invertIfNegative val="0"/>
          <c:cat>
            <c:strRef>
              <c:f>Dashboard!$A$5:$A$9</c:f>
              <c:strCache>
                <c:ptCount val="4"/>
                <c:pt idx="0">
                  <c:v>Shopping</c:v>
                </c:pt>
                <c:pt idx="1">
                  <c:v>(blank)</c:v>
                </c:pt>
                <c:pt idx="2">
                  <c:v>Entertainment</c:v>
                </c:pt>
                <c:pt idx="3">
                  <c:v>Groceries</c:v>
                </c:pt>
              </c:strCache>
            </c:strRef>
          </c:cat>
          <c:val>
            <c:numRef>
              <c:f>Dashboard!$D$5:$D$9</c:f>
              <c:numCache>
                <c:formatCode>General</c:formatCode>
                <c:ptCount val="4"/>
                <c:pt idx="0">
                  <c:v>100</c:v>
                </c:pt>
              </c:numCache>
            </c:numRef>
          </c:val>
          <c:extLst>
            <c:ext xmlns:c16="http://schemas.microsoft.com/office/drawing/2014/chart" uri="{C3380CC4-5D6E-409C-BE32-E72D297353CC}">
              <c16:uniqueId val="{00000002-AEF2-431B-B823-A11E53035A21}"/>
            </c:ext>
          </c:extLst>
        </c:ser>
        <c:ser>
          <c:idx val="3"/>
          <c:order val="3"/>
          <c:tx>
            <c:strRef>
              <c:f>Dashboard!$E$3:$E$4</c:f>
              <c:strCache>
                <c:ptCount val="1"/>
                <c:pt idx="0">
                  <c:v>Movie Tickets</c:v>
                </c:pt>
              </c:strCache>
            </c:strRef>
          </c:tx>
          <c:spPr>
            <a:solidFill>
              <a:schemeClr val="accent6">
                <a:shade val="58000"/>
              </a:schemeClr>
            </a:solidFill>
            <a:ln>
              <a:noFill/>
            </a:ln>
            <a:effectLst/>
          </c:spPr>
          <c:invertIfNegative val="0"/>
          <c:cat>
            <c:strRef>
              <c:f>Dashboard!$A$5:$A$9</c:f>
              <c:strCache>
                <c:ptCount val="4"/>
                <c:pt idx="0">
                  <c:v>Shopping</c:v>
                </c:pt>
                <c:pt idx="1">
                  <c:v>(blank)</c:v>
                </c:pt>
                <c:pt idx="2">
                  <c:v>Entertainment</c:v>
                </c:pt>
                <c:pt idx="3">
                  <c:v>Groceries</c:v>
                </c:pt>
              </c:strCache>
            </c:strRef>
          </c:cat>
          <c:val>
            <c:numRef>
              <c:f>Dashboard!$E$5:$E$9</c:f>
              <c:numCache>
                <c:formatCode>General</c:formatCode>
                <c:ptCount val="4"/>
                <c:pt idx="2">
                  <c:v>25</c:v>
                </c:pt>
              </c:numCache>
            </c:numRef>
          </c:val>
          <c:extLst>
            <c:ext xmlns:c16="http://schemas.microsoft.com/office/drawing/2014/chart" uri="{C3380CC4-5D6E-409C-BE32-E72D297353CC}">
              <c16:uniqueId val="{00000003-AEF2-431B-B823-A11E53035A21}"/>
            </c:ext>
          </c:extLst>
        </c:ser>
        <c:dLbls>
          <c:showLegendKey val="0"/>
          <c:showVal val="0"/>
          <c:showCatName val="0"/>
          <c:showSerName val="0"/>
          <c:showPercent val="0"/>
          <c:showBubbleSize val="0"/>
        </c:dLbls>
        <c:gapWidth val="219"/>
        <c:overlap val="-27"/>
        <c:axId val="514910607"/>
        <c:axId val="514901007"/>
      </c:barChart>
      <c:catAx>
        <c:axId val="514910607"/>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01007"/>
        <c:crosses val="autoZero"/>
        <c:auto val="1"/>
        <c:lblAlgn val="ctr"/>
        <c:lblOffset val="100"/>
        <c:noMultiLvlLbl val="0"/>
      </c:catAx>
      <c:valAx>
        <c:axId val="514901007"/>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10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tx>
            <c:strRef>
              <c:f>Expenses!$L$3</c:f>
              <c:strCache>
                <c:ptCount val="1"/>
                <c:pt idx="0">
                  <c:v>Cost Sum</c:v>
                </c:pt>
              </c:strCache>
            </c:strRef>
          </c:tx>
          <c:dPt>
            <c:idx val="0"/>
            <c:bubble3D val="0"/>
            <c:spPr>
              <a:solidFill>
                <a:schemeClr val="accent6">
                  <a:tint val="48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FFA-4BEE-9D5F-CC7ED2011140}"/>
              </c:ext>
            </c:extLst>
          </c:dPt>
          <c:dPt>
            <c:idx val="1"/>
            <c:bubble3D val="0"/>
            <c:spPr>
              <a:solidFill>
                <a:schemeClr val="accent6">
                  <a:tint val="6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FFA-4BEE-9D5F-CC7ED2011140}"/>
              </c:ext>
            </c:extLst>
          </c:dPt>
          <c:dPt>
            <c:idx val="2"/>
            <c:bubble3D val="0"/>
            <c:spPr>
              <a:solidFill>
                <a:schemeClr val="accent6">
                  <a:tint val="8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FFA-4BEE-9D5F-CC7ED2011140}"/>
              </c:ext>
            </c:extLst>
          </c:dPt>
          <c:dPt>
            <c:idx val="3"/>
            <c:bubble3D val="0"/>
            <c:spPr>
              <a:solidFill>
                <a:schemeClr val="accent6">
                  <a:tint val="9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FFA-4BEE-9D5F-CC7ED2011140}"/>
              </c:ext>
            </c:extLst>
          </c:dPt>
          <c:dPt>
            <c:idx val="4"/>
            <c:bubble3D val="0"/>
            <c:spPr>
              <a:solidFill>
                <a:schemeClr val="accent6">
                  <a:shade val="82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3A17-4477-AED5-42F4A00CA030}"/>
              </c:ext>
            </c:extLst>
          </c:dPt>
          <c:dPt>
            <c:idx val="5"/>
            <c:bubble3D val="0"/>
            <c:spPr>
              <a:solidFill>
                <a:schemeClr val="accent6">
                  <a:shade val="6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3A17-4477-AED5-42F4A00CA030}"/>
              </c:ext>
            </c:extLst>
          </c:dPt>
          <c:dPt>
            <c:idx val="6"/>
            <c:bubble3D val="0"/>
            <c:spPr>
              <a:solidFill>
                <a:schemeClr val="accent6">
                  <a:shade val="4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3A17-4477-AED5-42F4A00CA030}"/>
              </c:ext>
            </c:extLst>
          </c:dPt>
          <c:dPt>
            <c:idx val="7"/>
            <c:bubble3D val="0"/>
            <c:spPr>
              <a:solidFill>
                <a:schemeClr val="accent6">
                  <a:shade val="4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923F-4F71-9F79-777E06C45CF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Expenses!$K$4:$K$11</c:f>
              <c:strCache>
                <c:ptCount val="8"/>
                <c:pt idx="0">
                  <c:v>Bills</c:v>
                </c:pt>
                <c:pt idx="1">
                  <c:v>Entertainment</c:v>
                </c:pt>
                <c:pt idx="2">
                  <c:v>Tuition</c:v>
                </c:pt>
                <c:pt idx="3">
                  <c:v>Utilities</c:v>
                </c:pt>
                <c:pt idx="4">
                  <c:v>Rent</c:v>
                </c:pt>
                <c:pt idx="5">
                  <c:v>Groceries</c:v>
                </c:pt>
                <c:pt idx="6">
                  <c:v>Shopping</c:v>
                </c:pt>
                <c:pt idx="7">
                  <c:v>Other</c:v>
                </c:pt>
              </c:strCache>
            </c:strRef>
          </c:cat>
          <c:val>
            <c:numRef>
              <c:f>Expenses!$L$4:$L$11</c:f>
              <c:numCache>
                <c:formatCode>"$"#,##0.00</c:formatCode>
                <c:ptCount val="8"/>
                <c:pt idx="0">
                  <c:v>0</c:v>
                </c:pt>
                <c:pt idx="1">
                  <c:v>25</c:v>
                </c:pt>
                <c:pt idx="2">
                  <c:v>0</c:v>
                </c:pt>
                <c:pt idx="3">
                  <c:v>0</c:v>
                </c:pt>
                <c:pt idx="4">
                  <c:v>0</c:v>
                </c:pt>
                <c:pt idx="5">
                  <c:v>12</c:v>
                </c:pt>
                <c:pt idx="6">
                  <c:v>100</c:v>
                </c:pt>
                <c:pt idx="7">
                  <c:v>0</c:v>
                </c:pt>
              </c:numCache>
            </c:numRef>
          </c:val>
          <c:extLst>
            <c:ext xmlns:c16="http://schemas.microsoft.com/office/drawing/2014/chart" uri="{C3380CC4-5D6E-409C-BE32-E72D297353CC}">
              <c16:uniqueId val="{00000008-EFFA-4BEE-9D5F-CC7ED201114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Expected Spending vs. Actual Spending</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'Expected Spending'!$B$3</c:f>
              <c:strCache>
                <c:ptCount val="1"/>
                <c:pt idx="0">
                  <c:v>Expected Spending</c:v>
                </c:pt>
              </c:strCache>
            </c:strRef>
          </c:tx>
          <c:spPr>
            <a:solidFill>
              <a:schemeClr val="accent6">
                <a:shade val="76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'Expected Spending'!$A$4:$A$11</c:f>
              <c:strCache>
                <c:ptCount val="8"/>
                <c:pt idx="0">
                  <c:v>Bills</c:v>
                </c:pt>
                <c:pt idx="1">
                  <c:v>Entertainment</c:v>
                </c:pt>
                <c:pt idx="2">
                  <c:v>Tuition</c:v>
                </c:pt>
                <c:pt idx="3">
                  <c:v>Utilities</c:v>
                </c:pt>
                <c:pt idx="4">
                  <c:v>Rent</c:v>
                </c:pt>
                <c:pt idx="5">
                  <c:v>Groceries</c:v>
                </c:pt>
                <c:pt idx="6">
                  <c:v>Shopping</c:v>
                </c:pt>
                <c:pt idx="7">
                  <c:v>Other</c:v>
                </c:pt>
              </c:strCache>
            </c:strRef>
          </c:cat>
          <c:val>
            <c:numRef>
              <c:f>'Expected Spending'!$B$4:$B$11</c:f>
              <c:numCache>
                <c:formatCode>"$"#,##0.00</c:formatCode>
                <c:ptCount val="8"/>
                <c:pt idx="0">
                  <c:v>15</c:v>
                </c:pt>
                <c:pt idx="1">
                  <c:v>200</c:v>
                </c:pt>
                <c:pt idx="2">
                  <c:v>1300</c:v>
                </c:pt>
                <c:pt idx="3">
                  <c:v>15</c:v>
                </c:pt>
                <c:pt idx="4">
                  <c:v>200</c:v>
                </c:pt>
                <c:pt idx="5">
                  <c:v>100</c:v>
                </c:pt>
                <c:pt idx="6">
                  <c:v>100</c:v>
                </c:pt>
                <c:pt idx="7">
                  <c:v>75</c:v>
                </c:pt>
              </c:numCache>
            </c:numRef>
          </c:val>
          <c:extLst>
            <c:ext xmlns:c16="http://schemas.microsoft.com/office/drawing/2014/chart" uri="{C3380CC4-5D6E-409C-BE32-E72D297353CC}">
              <c16:uniqueId val="{00000000-5056-4C07-B3C0-5D2219E41B91}"/>
            </c:ext>
          </c:extLst>
        </c:ser>
        <c:ser>
          <c:idx val="1"/>
          <c:order val="1"/>
          <c:tx>
            <c:strRef>
              <c:f>'Expected Spending'!$C$3</c:f>
              <c:strCache>
                <c:ptCount val="1"/>
                <c:pt idx="0">
                  <c:v>Actual Spending</c:v>
                </c:pt>
              </c:strCache>
            </c:strRef>
          </c:tx>
          <c:spPr>
            <a:solidFill>
              <a:schemeClr val="accent6">
                <a:tint val="77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'Expected Spending'!$A$4:$A$11</c:f>
              <c:strCache>
                <c:ptCount val="8"/>
                <c:pt idx="0">
                  <c:v>Bills</c:v>
                </c:pt>
                <c:pt idx="1">
                  <c:v>Entertainment</c:v>
                </c:pt>
                <c:pt idx="2">
                  <c:v>Tuition</c:v>
                </c:pt>
                <c:pt idx="3">
                  <c:v>Utilities</c:v>
                </c:pt>
                <c:pt idx="4">
                  <c:v>Rent</c:v>
                </c:pt>
                <c:pt idx="5">
                  <c:v>Groceries</c:v>
                </c:pt>
                <c:pt idx="6">
                  <c:v>Shopping</c:v>
                </c:pt>
                <c:pt idx="7">
                  <c:v>Other</c:v>
                </c:pt>
              </c:strCache>
            </c:strRef>
          </c:cat>
          <c:val>
            <c:numRef>
              <c:f>'Expected Spending'!$C$4:$C$11</c:f>
              <c:numCache>
                <c:formatCode>"$"#,##0.00_);\("$"#,##0.00\)</c:formatCode>
                <c:ptCount val="8"/>
                <c:pt idx="0">
                  <c:v>0</c:v>
                </c:pt>
                <c:pt idx="1">
                  <c:v>25</c:v>
                </c:pt>
                <c:pt idx="2">
                  <c:v>0</c:v>
                </c:pt>
                <c:pt idx="3">
                  <c:v>0</c:v>
                </c:pt>
                <c:pt idx="4">
                  <c:v>0</c:v>
                </c:pt>
                <c:pt idx="5">
                  <c:v>12</c:v>
                </c:pt>
                <c:pt idx="6">
                  <c:v>100</c:v>
                </c:pt>
                <c:pt idx="7">
                  <c:v>0</c:v>
                </c:pt>
              </c:numCache>
            </c:numRef>
          </c:val>
          <c:extLst>
            <c:ext xmlns:c16="http://schemas.microsoft.com/office/drawing/2014/chart" uri="{C3380CC4-5D6E-409C-BE32-E72D297353CC}">
              <c16:uniqueId val="{00000001-5056-4C07-B3C0-5D2219E41B91}"/>
            </c:ext>
          </c:extLst>
        </c:ser>
        <c:dLbls>
          <c:dLblPos val="outEnd"/>
          <c:showLegendKey val="0"/>
          <c:showVal val="1"/>
          <c:showCatName val="0"/>
          <c:showSerName val="0"/>
          <c:showPercent val="0"/>
          <c:showBubbleSize val="0"/>
        </c:dLbls>
        <c:gapWidth val="444"/>
        <c:overlap val="-90"/>
        <c:axId val="803274768"/>
        <c:axId val="803276208"/>
      </c:barChart>
      <c:catAx>
        <c:axId val="8032747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Category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03276208"/>
        <c:crosses val="autoZero"/>
        <c:auto val="1"/>
        <c:lblAlgn val="ctr"/>
        <c:lblOffset val="100"/>
        <c:noMultiLvlLbl val="0"/>
      </c:catAx>
      <c:valAx>
        <c:axId val="803276208"/>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Spending</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crossAx val="8032747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Expense by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Expenses!$D$3</c:f>
              <c:strCache>
                <c:ptCount val="1"/>
                <c:pt idx="0">
                  <c:v>Description</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Expenses!$A$4:$A$7</c:f>
              <c:numCache>
                <c:formatCode>yyyy\-mm\-dd;@</c:formatCode>
                <c:ptCount val="4"/>
                <c:pt idx="0">
                  <c:v>45638</c:v>
                </c:pt>
                <c:pt idx="1">
                  <c:v>41255</c:v>
                </c:pt>
                <c:pt idx="2">
                  <c:v>44541</c:v>
                </c:pt>
              </c:numCache>
            </c:numRef>
          </c:cat>
          <c:val>
            <c:numRef>
              <c:f>Expenses!$D$4:$D$7</c:f>
              <c:numCache>
                <c:formatCode>"$"#,##0.00</c:formatCode>
                <c:ptCount val="4"/>
                <c:pt idx="0">
                  <c:v>12</c:v>
                </c:pt>
                <c:pt idx="1">
                  <c:v>100</c:v>
                </c:pt>
                <c:pt idx="2">
                  <c:v>25</c:v>
                </c:pt>
              </c:numCache>
            </c:numRef>
          </c:val>
          <c:smooth val="0"/>
          <c:extLst>
            <c:ext xmlns:c16="http://schemas.microsoft.com/office/drawing/2014/chart" uri="{C3380CC4-5D6E-409C-BE32-E72D297353CC}">
              <c16:uniqueId val="{00000000-C7E7-4DE3-BE4B-1BF5BD6BB671}"/>
            </c:ext>
          </c:extLst>
        </c:ser>
        <c:dLbls>
          <c:showLegendKey val="0"/>
          <c:showVal val="0"/>
          <c:showCatName val="0"/>
          <c:showSerName val="0"/>
          <c:showPercent val="0"/>
          <c:showBubbleSize val="0"/>
        </c:dLbls>
        <c:marker val="1"/>
        <c:smooth val="0"/>
        <c:axId val="1027285536"/>
        <c:axId val="1027293216"/>
      </c:lineChart>
      <c:dateAx>
        <c:axId val="1027285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yyyy\-mm\-dd;@" sourceLinked="1"/>
        <c:majorTickMark val="none"/>
        <c:minorTickMark val="none"/>
        <c:tickLblPos val="nextTo"/>
        <c:spPr>
          <a:noFill/>
          <a:ln w="9525" cap="flat" cmpd="sng" algn="ctr">
            <a:solidFill>
              <a:schemeClr val="accent1">
                <a:alpha val="96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93216"/>
        <c:crosses val="autoZero"/>
        <c:auto val="0"/>
        <c:lblOffset val="100"/>
        <c:baseTimeUnit val="years"/>
      </c:dateAx>
      <c:valAx>
        <c:axId val="1027293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85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Expense by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Expenses!$D$3</c:f>
              <c:strCache>
                <c:ptCount val="1"/>
                <c:pt idx="0">
                  <c:v>Description</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Expenses!$A$4:$A$7</c:f>
              <c:numCache>
                <c:formatCode>yyyy\-mm\-dd;@</c:formatCode>
                <c:ptCount val="4"/>
                <c:pt idx="0">
                  <c:v>45638</c:v>
                </c:pt>
                <c:pt idx="1">
                  <c:v>41255</c:v>
                </c:pt>
                <c:pt idx="2">
                  <c:v>44541</c:v>
                </c:pt>
              </c:numCache>
            </c:numRef>
          </c:cat>
          <c:val>
            <c:numRef>
              <c:f>Expenses!$D$4:$D$7</c:f>
              <c:numCache>
                <c:formatCode>"$"#,##0.00</c:formatCode>
                <c:ptCount val="4"/>
                <c:pt idx="0">
                  <c:v>12</c:v>
                </c:pt>
                <c:pt idx="1">
                  <c:v>100</c:v>
                </c:pt>
                <c:pt idx="2">
                  <c:v>25</c:v>
                </c:pt>
              </c:numCache>
            </c:numRef>
          </c:val>
          <c:smooth val="0"/>
          <c:extLst>
            <c:ext xmlns:c16="http://schemas.microsoft.com/office/drawing/2014/chart" uri="{C3380CC4-5D6E-409C-BE32-E72D297353CC}">
              <c16:uniqueId val="{00000000-120B-4D6E-B6BA-26514E2BE8CA}"/>
            </c:ext>
          </c:extLst>
        </c:ser>
        <c:dLbls>
          <c:showLegendKey val="0"/>
          <c:showVal val="0"/>
          <c:showCatName val="0"/>
          <c:showSerName val="0"/>
          <c:showPercent val="0"/>
          <c:showBubbleSize val="0"/>
        </c:dLbls>
        <c:marker val="1"/>
        <c:smooth val="0"/>
        <c:axId val="1027285536"/>
        <c:axId val="1027293216"/>
      </c:lineChart>
      <c:dateAx>
        <c:axId val="1027285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yyyy\-mm\-dd;@" sourceLinked="1"/>
        <c:majorTickMark val="none"/>
        <c:minorTickMark val="none"/>
        <c:tickLblPos val="nextTo"/>
        <c:spPr>
          <a:noFill/>
          <a:ln w="9525" cap="flat" cmpd="sng" algn="ctr">
            <a:solidFill>
              <a:schemeClr val="accent1">
                <a:alpha val="96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93216"/>
        <c:crosses val="autoZero"/>
        <c:auto val="0"/>
        <c:lblOffset val="100"/>
        <c:baseTimeUnit val="years"/>
      </c:dateAx>
      <c:valAx>
        <c:axId val="1027293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7285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Sum of</a:t>
            </a:r>
            <a:r>
              <a:rPr lang="en-CA" baseline="0"/>
              <a:t> Cost by Category</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Expenses!$L$3</c:f>
              <c:strCache>
                <c:ptCount val="1"/>
                <c:pt idx="0">
                  <c:v>Cost Sum</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Expenses!$K$4:$K$11</c:f>
              <c:strCache>
                <c:ptCount val="8"/>
                <c:pt idx="0">
                  <c:v>Bills</c:v>
                </c:pt>
                <c:pt idx="1">
                  <c:v>Entertainment</c:v>
                </c:pt>
                <c:pt idx="2">
                  <c:v>Tuition</c:v>
                </c:pt>
                <c:pt idx="3">
                  <c:v>Utilities</c:v>
                </c:pt>
                <c:pt idx="4">
                  <c:v>Rent</c:v>
                </c:pt>
                <c:pt idx="5">
                  <c:v>Groceries</c:v>
                </c:pt>
                <c:pt idx="6">
                  <c:v>Shopping</c:v>
                </c:pt>
                <c:pt idx="7">
                  <c:v>Other</c:v>
                </c:pt>
              </c:strCache>
            </c:strRef>
          </c:cat>
          <c:val>
            <c:numRef>
              <c:f>Expenses!$L$4:$L$11</c:f>
              <c:numCache>
                <c:formatCode>"$"#,##0.00</c:formatCode>
                <c:ptCount val="8"/>
                <c:pt idx="0">
                  <c:v>0</c:v>
                </c:pt>
                <c:pt idx="1">
                  <c:v>25</c:v>
                </c:pt>
                <c:pt idx="2">
                  <c:v>0</c:v>
                </c:pt>
                <c:pt idx="3">
                  <c:v>0</c:v>
                </c:pt>
                <c:pt idx="4">
                  <c:v>0</c:v>
                </c:pt>
                <c:pt idx="5">
                  <c:v>12</c:v>
                </c:pt>
                <c:pt idx="6">
                  <c:v>100</c:v>
                </c:pt>
                <c:pt idx="7">
                  <c:v>0</c:v>
                </c:pt>
              </c:numCache>
            </c:numRef>
          </c:val>
          <c:extLst>
            <c:ext xmlns:c16="http://schemas.microsoft.com/office/drawing/2014/chart" uri="{C3380CC4-5D6E-409C-BE32-E72D297353CC}">
              <c16:uniqueId val="{00000000-67EE-422B-9D00-21AB3D1567C7}"/>
            </c:ext>
          </c:extLst>
        </c:ser>
        <c:dLbls>
          <c:dLblPos val="outEnd"/>
          <c:showLegendKey val="0"/>
          <c:showVal val="1"/>
          <c:showCatName val="0"/>
          <c:showSerName val="0"/>
          <c:showPercent val="0"/>
          <c:showBubbleSize val="0"/>
        </c:dLbls>
        <c:gapWidth val="219"/>
        <c:overlap val="-27"/>
        <c:axId val="452328352"/>
        <c:axId val="566055408"/>
      </c:barChart>
      <c:catAx>
        <c:axId val="452328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5408"/>
        <c:crosses val="autoZero"/>
        <c:auto val="1"/>
        <c:lblAlgn val="ctr"/>
        <c:lblOffset val="100"/>
        <c:noMultiLvlLbl val="0"/>
      </c:catAx>
      <c:valAx>
        <c:axId val="56605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SUm of 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328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Expected Spending vs. Actual</a:t>
            </a:r>
            <a:r>
              <a:rPr lang="en-CA" baseline="0"/>
              <a:t> Spending</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'Expected Spending'!$B$3</c:f>
              <c:strCache>
                <c:ptCount val="1"/>
                <c:pt idx="0">
                  <c:v>Expected Spending</c:v>
                </c:pt>
              </c:strCache>
            </c:strRef>
          </c:tx>
          <c:spPr>
            <a:solidFill>
              <a:schemeClr val="accent6">
                <a:shade val="76000"/>
              </a:schemeClr>
            </a:solidFill>
            <a:ln>
              <a:noFill/>
            </a:ln>
            <a:effectLst/>
          </c:spPr>
          <c:invertIfNegative val="0"/>
          <c:cat>
            <c:strRef>
              <c:f>'Expected Spending'!$A$4:$A$11</c:f>
              <c:strCache>
                <c:ptCount val="8"/>
                <c:pt idx="0">
                  <c:v>Bills</c:v>
                </c:pt>
                <c:pt idx="1">
                  <c:v>Entertainment</c:v>
                </c:pt>
                <c:pt idx="2">
                  <c:v>Tuition</c:v>
                </c:pt>
                <c:pt idx="3">
                  <c:v>Utilities</c:v>
                </c:pt>
                <c:pt idx="4">
                  <c:v>Rent</c:v>
                </c:pt>
                <c:pt idx="5">
                  <c:v>Groceries</c:v>
                </c:pt>
                <c:pt idx="6">
                  <c:v>Shopping</c:v>
                </c:pt>
                <c:pt idx="7">
                  <c:v>Other</c:v>
                </c:pt>
              </c:strCache>
            </c:strRef>
          </c:cat>
          <c:val>
            <c:numRef>
              <c:f>'Expected Spending'!$B$4:$B$11</c:f>
              <c:numCache>
                <c:formatCode>"$"#,##0.00</c:formatCode>
                <c:ptCount val="8"/>
                <c:pt idx="0">
                  <c:v>15</c:v>
                </c:pt>
                <c:pt idx="1">
                  <c:v>200</c:v>
                </c:pt>
                <c:pt idx="2">
                  <c:v>1300</c:v>
                </c:pt>
                <c:pt idx="3">
                  <c:v>15</c:v>
                </c:pt>
                <c:pt idx="4">
                  <c:v>200</c:v>
                </c:pt>
                <c:pt idx="5">
                  <c:v>100</c:v>
                </c:pt>
                <c:pt idx="6">
                  <c:v>100</c:v>
                </c:pt>
                <c:pt idx="7">
                  <c:v>75</c:v>
                </c:pt>
              </c:numCache>
            </c:numRef>
          </c:val>
          <c:extLst>
            <c:ext xmlns:c16="http://schemas.microsoft.com/office/drawing/2014/chart" uri="{C3380CC4-5D6E-409C-BE32-E72D297353CC}">
              <c16:uniqueId val="{00000000-E5B2-460D-8776-805BAC6C9CC7}"/>
            </c:ext>
          </c:extLst>
        </c:ser>
        <c:ser>
          <c:idx val="1"/>
          <c:order val="1"/>
          <c:tx>
            <c:strRef>
              <c:f>'Expected Spending'!$C$3</c:f>
              <c:strCache>
                <c:ptCount val="1"/>
                <c:pt idx="0">
                  <c:v>Actual Spending</c:v>
                </c:pt>
              </c:strCache>
            </c:strRef>
          </c:tx>
          <c:spPr>
            <a:solidFill>
              <a:schemeClr val="accent6">
                <a:tint val="77000"/>
              </a:schemeClr>
            </a:solidFill>
            <a:ln>
              <a:noFill/>
            </a:ln>
            <a:effectLst/>
          </c:spPr>
          <c:invertIfNegative val="0"/>
          <c:cat>
            <c:strRef>
              <c:f>'Expected Spending'!$A$4:$A$11</c:f>
              <c:strCache>
                <c:ptCount val="8"/>
                <c:pt idx="0">
                  <c:v>Bills</c:v>
                </c:pt>
                <c:pt idx="1">
                  <c:v>Entertainment</c:v>
                </c:pt>
                <c:pt idx="2">
                  <c:v>Tuition</c:v>
                </c:pt>
                <c:pt idx="3">
                  <c:v>Utilities</c:v>
                </c:pt>
                <c:pt idx="4">
                  <c:v>Rent</c:v>
                </c:pt>
                <c:pt idx="5">
                  <c:v>Groceries</c:v>
                </c:pt>
                <c:pt idx="6">
                  <c:v>Shopping</c:v>
                </c:pt>
                <c:pt idx="7">
                  <c:v>Other</c:v>
                </c:pt>
              </c:strCache>
            </c:strRef>
          </c:cat>
          <c:val>
            <c:numRef>
              <c:f>'Expected Spending'!$C$4:$C$11</c:f>
              <c:numCache>
                <c:formatCode>"$"#,##0.00_);\("$"#,##0.00\)</c:formatCode>
                <c:ptCount val="8"/>
                <c:pt idx="0">
                  <c:v>0</c:v>
                </c:pt>
                <c:pt idx="1">
                  <c:v>25</c:v>
                </c:pt>
                <c:pt idx="2">
                  <c:v>0</c:v>
                </c:pt>
                <c:pt idx="3">
                  <c:v>0</c:v>
                </c:pt>
                <c:pt idx="4">
                  <c:v>0</c:v>
                </c:pt>
                <c:pt idx="5">
                  <c:v>12</c:v>
                </c:pt>
                <c:pt idx="6">
                  <c:v>100</c:v>
                </c:pt>
                <c:pt idx="7">
                  <c:v>0</c:v>
                </c:pt>
              </c:numCache>
            </c:numRef>
          </c:val>
          <c:extLst>
            <c:ext xmlns:c16="http://schemas.microsoft.com/office/drawing/2014/chart" uri="{C3380CC4-5D6E-409C-BE32-E72D297353CC}">
              <c16:uniqueId val="{00000001-E5B2-460D-8776-805BAC6C9CC7}"/>
            </c:ext>
          </c:extLst>
        </c:ser>
        <c:dLbls>
          <c:showLegendKey val="0"/>
          <c:showVal val="0"/>
          <c:showCatName val="0"/>
          <c:showSerName val="0"/>
          <c:showPercent val="0"/>
          <c:showBubbleSize val="0"/>
        </c:dLbls>
        <c:gapWidth val="219"/>
        <c:overlap val="-27"/>
        <c:axId val="803274768"/>
        <c:axId val="803276208"/>
      </c:barChart>
      <c:catAx>
        <c:axId val="803274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Expense</a:t>
                </a:r>
                <a:r>
                  <a:rPr lang="en-CA" baseline="0"/>
                  <a:t> </a:t>
                </a:r>
                <a:r>
                  <a:rPr lang="en-CA"/>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276208"/>
        <c:crosses val="autoZero"/>
        <c:auto val="1"/>
        <c:lblAlgn val="ctr"/>
        <c:lblOffset val="100"/>
        <c:noMultiLvlLbl val="0"/>
      </c:catAx>
      <c:valAx>
        <c:axId val="803276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27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tx>
            <c:strRef>
              <c:f>Expenses!$L$3</c:f>
              <c:strCache>
                <c:ptCount val="1"/>
                <c:pt idx="0">
                  <c:v>Cost Sum</c:v>
                </c:pt>
              </c:strCache>
            </c:strRef>
          </c:tx>
          <c:dPt>
            <c:idx val="0"/>
            <c:bubble3D val="0"/>
            <c:spPr>
              <a:solidFill>
                <a:schemeClr val="accent6">
                  <a:tint val="48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73E-4326-A575-EB4CD8F41124}"/>
              </c:ext>
            </c:extLst>
          </c:dPt>
          <c:dPt>
            <c:idx val="1"/>
            <c:bubble3D val="0"/>
            <c:spPr>
              <a:solidFill>
                <a:schemeClr val="accent6">
                  <a:tint val="6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73E-4326-A575-EB4CD8F41124}"/>
              </c:ext>
            </c:extLst>
          </c:dPt>
          <c:dPt>
            <c:idx val="2"/>
            <c:bubble3D val="0"/>
            <c:spPr>
              <a:solidFill>
                <a:schemeClr val="accent6">
                  <a:tint val="8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73E-4326-A575-EB4CD8F41124}"/>
              </c:ext>
            </c:extLst>
          </c:dPt>
          <c:dPt>
            <c:idx val="3"/>
            <c:bubble3D val="0"/>
            <c:spPr>
              <a:solidFill>
                <a:schemeClr val="accent6">
                  <a:tint val="9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73E-4326-A575-EB4CD8F41124}"/>
              </c:ext>
            </c:extLst>
          </c:dPt>
          <c:dPt>
            <c:idx val="4"/>
            <c:bubble3D val="0"/>
            <c:spPr>
              <a:solidFill>
                <a:schemeClr val="accent6">
                  <a:shade val="82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73E-4326-A575-EB4CD8F41124}"/>
              </c:ext>
            </c:extLst>
          </c:dPt>
          <c:dPt>
            <c:idx val="5"/>
            <c:bubble3D val="0"/>
            <c:spPr>
              <a:solidFill>
                <a:schemeClr val="accent6">
                  <a:shade val="6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E73E-4326-A575-EB4CD8F41124}"/>
              </c:ext>
            </c:extLst>
          </c:dPt>
          <c:dPt>
            <c:idx val="6"/>
            <c:bubble3D val="0"/>
            <c:spPr>
              <a:solidFill>
                <a:schemeClr val="accent6">
                  <a:shade val="4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E73E-4326-A575-EB4CD8F41124}"/>
              </c:ext>
            </c:extLst>
          </c:dPt>
          <c:dPt>
            <c:idx val="7"/>
            <c:bubble3D val="0"/>
            <c:spPr>
              <a:solidFill>
                <a:schemeClr val="accent6">
                  <a:shade val="4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E73E-4326-A575-EB4CD8F4112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Expenses!$K$4:$K$11</c:f>
              <c:strCache>
                <c:ptCount val="8"/>
                <c:pt idx="0">
                  <c:v>Bills</c:v>
                </c:pt>
                <c:pt idx="1">
                  <c:v>Entertainment</c:v>
                </c:pt>
                <c:pt idx="2">
                  <c:v>Tuition</c:v>
                </c:pt>
                <c:pt idx="3">
                  <c:v>Utilities</c:v>
                </c:pt>
                <c:pt idx="4">
                  <c:v>Rent</c:v>
                </c:pt>
                <c:pt idx="5">
                  <c:v>Groceries</c:v>
                </c:pt>
                <c:pt idx="6">
                  <c:v>Shopping</c:v>
                </c:pt>
                <c:pt idx="7">
                  <c:v>Other</c:v>
                </c:pt>
              </c:strCache>
            </c:strRef>
          </c:cat>
          <c:val>
            <c:numRef>
              <c:f>Expenses!$L$4:$L$11</c:f>
              <c:numCache>
                <c:formatCode>"$"#,##0.00</c:formatCode>
                <c:ptCount val="8"/>
                <c:pt idx="0">
                  <c:v>0</c:v>
                </c:pt>
                <c:pt idx="1">
                  <c:v>25</c:v>
                </c:pt>
                <c:pt idx="2">
                  <c:v>0</c:v>
                </c:pt>
                <c:pt idx="3">
                  <c:v>0</c:v>
                </c:pt>
                <c:pt idx="4">
                  <c:v>0</c:v>
                </c:pt>
                <c:pt idx="5">
                  <c:v>12</c:v>
                </c:pt>
                <c:pt idx="6">
                  <c:v>100</c:v>
                </c:pt>
                <c:pt idx="7">
                  <c:v>0</c:v>
                </c:pt>
              </c:numCache>
            </c:numRef>
          </c:val>
          <c:extLst>
            <c:ext xmlns:c16="http://schemas.microsoft.com/office/drawing/2014/chart" uri="{C3380CC4-5D6E-409C-BE32-E72D297353CC}">
              <c16:uniqueId val="{00000010-E73E-4326-A575-EB4CD8F4112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Expected Spending vs. Actual</a:t>
            </a:r>
            <a:r>
              <a:rPr lang="en-CA" baseline="0"/>
              <a:t> Spending</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'Expected Spending'!$B$3</c:f>
              <c:strCache>
                <c:ptCount val="1"/>
                <c:pt idx="0">
                  <c:v>Expected Spending</c:v>
                </c:pt>
              </c:strCache>
            </c:strRef>
          </c:tx>
          <c:spPr>
            <a:solidFill>
              <a:schemeClr val="accent6">
                <a:shade val="76000"/>
              </a:schemeClr>
            </a:solidFill>
            <a:ln>
              <a:noFill/>
            </a:ln>
            <a:effectLst/>
          </c:spPr>
          <c:invertIfNegative val="0"/>
          <c:cat>
            <c:strRef>
              <c:f>'Expected Spending'!$A$4:$A$11</c:f>
              <c:strCache>
                <c:ptCount val="8"/>
                <c:pt idx="0">
                  <c:v>Bills</c:v>
                </c:pt>
                <c:pt idx="1">
                  <c:v>Entertainment</c:v>
                </c:pt>
                <c:pt idx="2">
                  <c:v>Tuition</c:v>
                </c:pt>
                <c:pt idx="3">
                  <c:v>Utilities</c:v>
                </c:pt>
                <c:pt idx="4">
                  <c:v>Rent</c:v>
                </c:pt>
                <c:pt idx="5">
                  <c:v>Groceries</c:v>
                </c:pt>
                <c:pt idx="6">
                  <c:v>Shopping</c:v>
                </c:pt>
                <c:pt idx="7">
                  <c:v>Other</c:v>
                </c:pt>
              </c:strCache>
            </c:strRef>
          </c:cat>
          <c:val>
            <c:numRef>
              <c:f>'Expected Spending'!$B$4:$B$11</c:f>
              <c:numCache>
                <c:formatCode>"$"#,##0.00</c:formatCode>
                <c:ptCount val="8"/>
                <c:pt idx="0">
                  <c:v>15</c:v>
                </c:pt>
                <c:pt idx="1">
                  <c:v>200</c:v>
                </c:pt>
                <c:pt idx="2">
                  <c:v>1300</c:v>
                </c:pt>
                <c:pt idx="3">
                  <c:v>15</c:v>
                </c:pt>
                <c:pt idx="4">
                  <c:v>200</c:v>
                </c:pt>
                <c:pt idx="5">
                  <c:v>100</c:v>
                </c:pt>
                <c:pt idx="6">
                  <c:v>100</c:v>
                </c:pt>
                <c:pt idx="7">
                  <c:v>75</c:v>
                </c:pt>
              </c:numCache>
            </c:numRef>
          </c:val>
          <c:extLst>
            <c:ext xmlns:c16="http://schemas.microsoft.com/office/drawing/2014/chart" uri="{C3380CC4-5D6E-409C-BE32-E72D297353CC}">
              <c16:uniqueId val="{00000000-7185-4174-946F-9A242DB8A410}"/>
            </c:ext>
          </c:extLst>
        </c:ser>
        <c:ser>
          <c:idx val="1"/>
          <c:order val="1"/>
          <c:tx>
            <c:strRef>
              <c:f>'Expected Spending'!$C$3</c:f>
              <c:strCache>
                <c:ptCount val="1"/>
                <c:pt idx="0">
                  <c:v>Actual Spending</c:v>
                </c:pt>
              </c:strCache>
            </c:strRef>
          </c:tx>
          <c:spPr>
            <a:solidFill>
              <a:schemeClr val="accent6">
                <a:tint val="77000"/>
              </a:schemeClr>
            </a:solidFill>
            <a:ln>
              <a:noFill/>
            </a:ln>
            <a:effectLst/>
          </c:spPr>
          <c:invertIfNegative val="0"/>
          <c:cat>
            <c:strRef>
              <c:f>'Expected Spending'!$A$4:$A$11</c:f>
              <c:strCache>
                <c:ptCount val="8"/>
                <c:pt idx="0">
                  <c:v>Bills</c:v>
                </c:pt>
                <c:pt idx="1">
                  <c:v>Entertainment</c:v>
                </c:pt>
                <c:pt idx="2">
                  <c:v>Tuition</c:v>
                </c:pt>
                <c:pt idx="3">
                  <c:v>Utilities</c:v>
                </c:pt>
                <c:pt idx="4">
                  <c:v>Rent</c:v>
                </c:pt>
                <c:pt idx="5">
                  <c:v>Groceries</c:v>
                </c:pt>
                <c:pt idx="6">
                  <c:v>Shopping</c:v>
                </c:pt>
                <c:pt idx="7">
                  <c:v>Other</c:v>
                </c:pt>
              </c:strCache>
            </c:strRef>
          </c:cat>
          <c:val>
            <c:numRef>
              <c:f>'Expected Spending'!$C$4:$C$11</c:f>
              <c:numCache>
                <c:formatCode>"$"#,##0.00_);\("$"#,##0.00\)</c:formatCode>
                <c:ptCount val="8"/>
                <c:pt idx="0">
                  <c:v>0</c:v>
                </c:pt>
                <c:pt idx="1">
                  <c:v>25</c:v>
                </c:pt>
                <c:pt idx="2">
                  <c:v>0</c:v>
                </c:pt>
                <c:pt idx="3">
                  <c:v>0</c:v>
                </c:pt>
                <c:pt idx="4">
                  <c:v>0</c:v>
                </c:pt>
                <c:pt idx="5">
                  <c:v>12</c:v>
                </c:pt>
                <c:pt idx="6">
                  <c:v>100</c:v>
                </c:pt>
                <c:pt idx="7">
                  <c:v>0</c:v>
                </c:pt>
              </c:numCache>
            </c:numRef>
          </c:val>
          <c:extLst>
            <c:ext xmlns:c16="http://schemas.microsoft.com/office/drawing/2014/chart" uri="{C3380CC4-5D6E-409C-BE32-E72D297353CC}">
              <c16:uniqueId val="{00000001-7185-4174-946F-9A242DB8A410}"/>
            </c:ext>
          </c:extLst>
        </c:ser>
        <c:dLbls>
          <c:showLegendKey val="0"/>
          <c:showVal val="0"/>
          <c:showCatName val="0"/>
          <c:showSerName val="0"/>
          <c:showPercent val="0"/>
          <c:showBubbleSize val="0"/>
        </c:dLbls>
        <c:gapWidth val="219"/>
        <c:overlap val="-27"/>
        <c:axId val="803274768"/>
        <c:axId val="803276208"/>
      </c:barChart>
      <c:catAx>
        <c:axId val="803274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276208"/>
        <c:crosses val="autoZero"/>
        <c:auto val="1"/>
        <c:lblAlgn val="ctr"/>
        <c:lblOffset val="100"/>
        <c:noMultiLvlLbl val="0"/>
      </c:catAx>
      <c:valAx>
        <c:axId val="803276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27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E$4" lockText="1" noThreeD="1"/>
</file>

<file path=xl/ctrlProps/ctrlProp8.xml><?xml version="1.0" encoding="utf-8"?>
<formControlPr xmlns="http://schemas.microsoft.com/office/spreadsheetml/2009/9/main" objectType="CheckBox" fmlaLink="$E$5" lockText="1" noThreeD="1"/>
</file>

<file path=xl/ctrlProps/ctrlProp9.xml><?xml version="1.0" encoding="utf-8"?>
<formControlPr xmlns="http://schemas.microsoft.com/office/spreadsheetml/2009/9/main" objectType="CheckBox" fmlaLink="$E$6"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E$7" lockText="1" noThreeD="1"/>
</file>

<file path=xl/ctrlProps/ctrlProp12.xml><?xml version="1.0" encoding="utf-8"?>
<formControlPr xmlns="http://schemas.microsoft.com/office/spreadsheetml/2009/9/main" objectType="CheckBox" fmlaLink="$E$9" lockText="1" noThreeD="1"/>
</file>

<file path=xl/ctrlProps/ctrlProp13.xml><?xml version="1.0" encoding="utf-8"?>
<formControlPr xmlns="http://schemas.microsoft.com/office/spreadsheetml/2009/9/main" objectType="CheckBox" fmlaLink="$E$8" lockText="1" noThreeD="1"/>
</file>

<file path=xl/ctrlProps/ctrlProp14.xml><?xml version="1.0" encoding="utf-8"?>
<formControlPr xmlns="http://schemas.microsoft.com/office/spreadsheetml/2009/9/main" objectType="CheckBox" fmlaLink="$E$10" lockText="1" noThreeD="1"/>
</file>

<file path=xl/ctrlProps/ctrlProp15.xml><?xml version="1.0" encoding="utf-8"?>
<formControlPr xmlns="http://schemas.microsoft.com/office/spreadsheetml/2009/9/main" objectType="CheckBox" fmlaLink="$E$13" lockText="1" noThreeD="1"/>
</file>

<file path=xl/ctrlProps/ctrlProp16.xml><?xml version="1.0" encoding="utf-8"?>
<formControlPr xmlns="http://schemas.microsoft.com/office/spreadsheetml/2009/9/main" objectType="CheckBox" fmlaLink="$E$11" lockText="1" noThreeD="1"/>
</file>

<file path=xl/ctrlProps/ctrlProp17.xml><?xml version="1.0" encoding="utf-8"?>
<formControlPr xmlns="http://schemas.microsoft.com/office/spreadsheetml/2009/9/main" objectType="CheckBox" fmlaLink="$E$12" lockText="1" noThreeD="1"/>
</file>

<file path=xl/ctrlProps/ctrlProp18.xml><?xml version="1.0" encoding="utf-8"?>
<formControlPr xmlns="http://schemas.microsoft.com/office/spreadsheetml/2009/9/main" objectType="CheckBox" fmlaLink="$E$14" lockText="1" noThreeD="1"/>
</file>

<file path=xl/ctrlProps/ctrlProp19.xml><?xml version="1.0" encoding="utf-8"?>
<formControlPr xmlns="http://schemas.microsoft.com/office/spreadsheetml/2009/9/main" objectType="CheckBox" fmlaLink="$E$15" lockText="1" noThreeD="1"/>
</file>

<file path=xl/ctrlProps/ctrlProp20.xml><?xml version="1.0" encoding="utf-8"?>
<formControlPr xmlns="http://schemas.microsoft.com/office/spreadsheetml/2009/9/main" objectType="CheckBox" fmlaLink="$E$16"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12</xdr:col>
      <xdr:colOff>270510</xdr:colOff>
      <xdr:row>17</xdr:row>
      <xdr:rowOff>87630</xdr:rowOff>
    </xdr:from>
    <xdr:to>
      <xdr:col>15</xdr:col>
      <xdr:colOff>300990</xdr:colOff>
      <xdr:row>30</xdr:row>
      <xdr:rowOff>156210</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6B408BD0-EB4B-0048-A487-CC1A644647C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014835" y="3535680"/>
              <a:ext cx="1792605" cy="254508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554355</xdr:colOff>
      <xdr:row>17</xdr:row>
      <xdr:rowOff>48577</xdr:rowOff>
    </xdr:from>
    <xdr:to>
      <xdr:col>11</xdr:col>
      <xdr:colOff>453390</xdr:colOff>
      <xdr:row>31</xdr:row>
      <xdr:rowOff>124777</xdr:rowOff>
    </xdr:to>
    <xdr:graphicFrame macro="">
      <xdr:nvGraphicFramePr>
        <xdr:cNvPr id="5" name="Chart 4">
          <a:extLst>
            <a:ext uri="{FF2B5EF4-FFF2-40B4-BE49-F238E27FC236}">
              <a16:creationId xmlns:a16="http://schemas.microsoft.com/office/drawing/2014/main" id="{858C2A28-E318-282F-8069-837518C63B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19050</xdr:rowOff>
    </xdr:from>
    <xdr:to>
      <xdr:col>7</xdr:col>
      <xdr:colOff>19050</xdr:colOff>
      <xdr:row>31</xdr:row>
      <xdr:rowOff>95250</xdr:rowOff>
    </xdr:to>
    <xdr:graphicFrame macro="">
      <xdr:nvGraphicFramePr>
        <xdr:cNvPr id="3" name="Chart 2">
          <a:extLst>
            <a:ext uri="{FF2B5EF4-FFF2-40B4-BE49-F238E27FC236}">
              <a16:creationId xmlns:a16="http://schemas.microsoft.com/office/drawing/2014/main" id="{EB7E576D-0C2B-4DF7-AC3B-D58FAF8C9E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76200</xdr:colOff>
          <xdr:row>13</xdr:row>
          <xdr:rowOff>76200</xdr:rowOff>
        </xdr:from>
        <xdr:to>
          <xdr:col>1</xdr:col>
          <xdr:colOff>45720</xdr:colOff>
          <xdr:row>16</xdr:row>
          <xdr:rowOff>121920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Go To Expenses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13</xdr:row>
          <xdr:rowOff>45720</xdr:rowOff>
        </xdr:from>
        <xdr:to>
          <xdr:col>3</xdr:col>
          <xdr:colOff>411480</xdr:colOff>
          <xdr:row>16</xdr:row>
          <xdr:rowOff>144780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Go to Income &amp; Goals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13</xdr:row>
          <xdr:rowOff>45720</xdr:rowOff>
        </xdr:from>
        <xdr:to>
          <xdr:col>6</xdr:col>
          <xdr:colOff>502920</xdr:colOff>
          <xdr:row>16</xdr:row>
          <xdr:rowOff>144780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Go To Financial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13</xdr:row>
          <xdr:rowOff>38100</xdr:rowOff>
        </xdr:from>
        <xdr:to>
          <xdr:col>10</xdr:col>
          <xdr:colOff>754380</xdr:colOff>
          <xdr:row>16</xdr:row>
          <xdr:rowOff>137160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Go to Expected Spending</a:t>
              </a:r>
            </a:p>
          </xdr:txBody>
        </xdr:sp>
        <xdr:clientData fPrintsWithSheet="0"/>
      </xdr:twoCellAnchor>
    </mc:Choice>
    <mc:Fallback/>
  </mc:AlternateContent>
  <xdr:twoCellAnchor>
    <xdr:from>
      <xdr:col>0</xdr:col>
      <xdr:colOff>0</xdr:colOff>
      <xdr:row>32</xdr:row>
      <xdr:rowOff>0</xdr:rowOff>
    </xdr:from>
    <xdr:to>
      <xdr:col>5</xdr:col>
      <xdr:colOff>381000</xdr:colOff>
      <xdr:row>47</xdr:row>
      <xdr:rowOff>0</xdr:rowOff>
    </xdr:to>
    <xdr:graphicFrame macro="">
      <xdr:nvGraphicFramePr>
        <xdr:cNvPr id="2" name="Chart 1">
          <a:extLst>
            <a:ext uri="{FF2B5EF4-FFF2-40B4-BE49-F238E27FC236}">
              <a16:creationId xmlns:a16="http://schemas.microsoft.com/office/drawing/2014/main" id="{B3CAC8F4-02BF-4E33-A92C-A9B161E034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32</xdr:row>
      <xdr:rowOff>0</xdr:rowOff>
    </xdr:from>
    <xdr:to>
      <xdr:col>12</xdr:col>
      <xdr:colOff>365760</xdr:colOff>
      <xdr:row>46</xdr:row>
      <xdr:rowOff>182879</xdr:rowOff>
    </xdr:to>
    <xdr:graphicFrame macro="">
      <xdr:nvGraphicFramePr>
        <xdr:cNvPr id="6" name="Chart 5">
          <a:extLst>
            <a:ext uri="{FF2B5EF4-FFF2-40B4-BE49-F238E27FC236}">
              <a16:creationId xmlns:a16="http://schemas.microsoft.com/office/drawing/2014/main" id="{955F4100-5E44-463B-BBBB-CC63229B52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37172</xdr:colOff>
      <xdr:row>8</xdr:row>
      <xdr:rowOff>92929</xdr:rowOff>
    </xdr:from>
    <xdr:to>
      <xdr:col>16</xdr:col>
      <xdr:colOff>37171</xdr:colOff>
      <xdr:row>17</xdr:row>
      <xdr:rowOff>139392</xdr:rowOff>
    </xdr:to>
    <xdr:pic>
      <xdr:nvPicPr>
        <xdr:cNvPr id="8" name="Picture 7" descr="Appa png by DINOBOY768 on DeviantArt">
          <a:extLst>
            <a:ext uri="{FF2B5EF4-FFF2-40B4-BE49-F238E27FC236}">
              <a16:creationId xmlns:a16="http://schemas.microsoft.com/office/drawing/2014/main" id="{859187B4-F36D-B886-D6B0-DF4BCA1A4E1A}"/>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7520"/>
        <a:stretch/>
      </xdr:blipFill>
      <xdr:spPr bwMode="auto">
        <a:xfrm>
          <a:off x="8911684" y="1793490"/>
          <a:ext cx="2453268" cy="17191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315952</xdr:colOff>
      <xdr:row>9</xdr:row>
      <xdr:rowOff>65049</xdr:rowOff>
    </xdr:from>
    <xdr:to>
      <xdr:col>19</xdr:col>
      <xdr:colOff>594732</xdr:colOff>
      <xdr:row>14</xdr:row>
      <xdr:rowOff>83634</xdr:rowOff>
    </xdr:to>
    <xdr:sp macro="" textlink="">
      <xdr:nvSpPr>
        <xdr:cNvPr id="9" name="Speech Bubble: Oval 8">
          <a:extLst>
            <a:ext uri="{FF2B5EF4-FFF2-40B4-BE49-F238E27FC236}">
              <a16:creationId xmlns:a16="http://schemas.microsoft.com/office/drawing/2014/main" id="{CDEFB662-9CC7-8735-452A-73AB2366D213}"/>
            </a:ext>
          </a:extLst>
        </xdr:cNvPr>
        <xdr:cNvSpPr/>
      </xdr:nvSpPr>
      <xdr:spPr>
        <a:xfrm>
          <a:off x="11699489" y="1951464"/>
          <a:ext cx="2118731" cy="947853"/>
        </a:xfrm>
        <a:prstGeom prst="wedgeEllipseCallout">
          <a:avLst>
            <a:gd name="adj1" fmla="val -74116"/>
            <a:gd name="adj2" fmla="val 69838"/>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CA" sz="1400" kern="1200"/>
            <a:t>Welcome to your Financial Planner!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600075</xdr:colOff>
      <xdr:row>17</xdr:row>
      <xdr:rowOff>176502</xdr:rowOff>
    </xdr:from>
    <xdr:to>
      <xdr:col>19</xdr:col>
      <xdr:colOff>561975</xdr:colOff>
      <xdr:row>32</xdr:row>
      <xdr:rowOff>176501</xdr:rowOff>
    </xdr:to>
    <xdr:graphicFrame macro="">
      <xdr:nvGraphicFramePr>
        <xdr:cNvPr id="5" name="Chart 4">
          <a:extLst>
            <a:ext uri="{FF2B5EF4-FFF2-40B4-BE49-F238E27FC236}">
              <a16:creationId xmlns:a16="http://schemas.microsoft.com/office/drawing/2014/main" id="{9678DB5E-666D-89F3-B9B9-8F670F67B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312420</xdr:colOff>
          <xdr:row>2</xdr:row>
          <xdr:rowOff>160020</xdr:rowOff>
        </xdr:from>
        <xdr:to>
          <xdr:col>8</xdr:col>
          <xdr:colOff>365760</xdr:colOff>
          <xdr:row>4</xdr:row>
          <xdr:rowOff>152400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 Add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312420</xdr:colOff>
          <xdr:row>5</xdr:row>
          <xdr:rowOff>160020</xdr:rowOff>
        </xdr:from>
        <xdr:to>
          <xdr:col>8</xdr:col>
          <xdr:colOff>373380</xdr:colOff>
          <xdr:row>7</xdr:row>
          <xdr:rowOff>160020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175260</xdr:rowOff>
        </xdr:from>
        <xdr:to>
          <xdr:col>5</xdr:col>
          <xdr:colOff>0</xdr:colOff>
          <xdr:row>4</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822960</xdr:colOff>
          <xdr:row>3</xdr:row>
          <xdr:rowOff>175260</xdr:rowOff>
        </xdr:from>
        <xdr:to>
          <xdr:col>4</xdr:col>
          <xdr:colOff>601980</xdr:colOff>
          <xdr:row>5</xdr:row>
          <xdr:rowOff>22860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822960</xdr:colOff>
          <xdr:row>4</xdr:row>
          <xdr:rowOff>175260</xdr:rowOff>
        </xdr:from>
        <xdr:to>
          <xdr:col>4</xdr:col>
          <xdr:colOff>601980</xdr:colOff>
          <xdr:row>6</xdr:row>
          <xdr:rowOff>30480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13</xdr:col>
      <xdr:colOff>1988</xdr:colOff>
      <xdr:row>1</xdr:row>
      <xdr:rowOff>323104</xdr:rowOff>
    </xdr:from>
    <xdr:to>
      <xdr:col>19</xdr:col>
      <xdr:colOff>570175</xdr:colOff>
      <xdr:row>16</xdr:row>
      <xdr:rowOff>189754</xdr:rowOff>
    </xdr:to>
    <xdr:graphicFrame macro="">
      <xdr:nvGraphicFramePr>
        <xdr:cNvPr id="2" name="Chart 1">
          <a:extLst>
            <a:ext uri="{FF2B5EF4-FFF2-40B4-BE49-F238E27FC236}">
              <a16:creationId xmlns:a16="http://schemas.microsoft.com/office/drawing/2014/main" id="{B8E70313-ABD8-24FE-83CA-B8B69BB3D4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762000</xdr:colOff>
          <xdr:row>0</xdr:row>
          <xdr:rowOff>152400</xdr:rowOff>
        </xdr:from>
        <xdr:to>
          <xdr:col>3</xdr:col>
          <xdr:colOff>403860</xdr:colOff>
          <xdr:row>1</xdr:row>
          <xdr:rowOff>220980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815340</xdr:colOff>
          <xdr:row>5</xdr:row>
          <xdr:rowOff>175260</xdr:rowOff>
        </xdr:from>
        <xdr:to>
          <xdr:col>4</xdr:col>
          <xdr:colOff>579120</xdr:colOff>
          <xdr:row>7</xdr:row>
          <xdr:rowOff>30480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175260</xdr:rowOff>
        </xdr:from>
        <xdr:to>
          <xdr:col>5</xdr:col>
          <xdr:colOff>0</xdr:colOff>
          <xdr:row>9</xdr:row>
          <xdr:rowOff>30480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182880</xdr:rowOff>
        </xdr:from>
        <xdr:to>
          <xdr:col>5</xdr:col>
          <xdr:colOff>0</xdr:colOff>
          <xdr:row>8</xdr:row>
          <xdr:rowOff>38100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175260</xdr:rowOff>
        </xdr:from>
        <xdr:to>
          <xdr:col>5</xdr:col>
          <xdr:colOff>7620</xdr:colOff>
          <xdr:row>10</xdr:row>
          <xdr:rowOff>22860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175260</xdr:rowOff>
        </xdr:from>
        <xdr:to>
          <xdr:col>5</xdr:col>
          <xdr:colOff>0</xdr:colOff>
          <xdr:row>13</xdr:row>
          <xdr:rowOff>30480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xdr:row>
          <xdr:rowOff>175260</xdr:rowOff>
        </xdr:from>
        <xdr:to>
          <xdr:col>5</xdr:col>
          <xdr:colOff>7620</xdr:colOff>
          <xdr:row>11</xdr:row>
          <xdr:rowOff>30480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10</xdr:row>
          <xdr:rowOff>182880</xdr:rowOff>
        </xdr:from>
        <xdr:to>
          <xdr:col>5</xdr:col>
          <xdr:colOff>7620</xdr:colOff>
          <xdr:row>12</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175260</xdr:rowOff>
        </xdr:from>
        <xdr:to>
          <xdr:col>5</xdr:col>
          <xdr:colOff>22860</xdr:colOff>
          <xdr:row>14</xdr:row>
          <xdr:rowOff>30480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175260</xdr:rowOff>
        </xdr:from>
        <xdr:to>
          <xdr:col>5</xdr:col>
          <xdr:colOff>0</xdr:colOff>
          <xdr:row>15</xdr:row>
          <xdr:rowOff>22860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152400</xdr:rowOff>
        </xdr:from>
        <xdr:to>
          <xdr:col>5</xdr:col>
          <xdr:colOff>0</xdr:colOff>
          <xdr:row>16</xdr:row>
          <xdr:rowOff>7620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8</xdr:col>
      <xdr:colOff>496955</xdr:colOff>
      <xdr:row>11</xdr:row>
      <xdr:rowOff>165652</xdr:rowOff>
    </xdr:from>
    <xdr:to>
      <xdr:col>11</xdr:col>
      <xdr:colOff>265044</xdr:colOff>
      <xdr:row>24</xdr:row>
      <xdr:rowOff>19465</xdr:rowOff>
    </xdr:to>
    <xdr:pic>
      <xdr:nvPicPr>
        <xdr:cNvPr id="3" name="Picture 2" descr="Aang - Png v2 by Tagirovo on DeviantArt">
          <a:extLst>
            <a:ext uri="{FF2B5EF4-FFF2-40B4-BE49-F238E27FC236}">
              <a16:creationId xmlns:a16="http://schemas.microsoft.com/office/drawing/2014/main" id="{F68E2648-FC92-1F8E-0D98-269FAEB9047E}"/>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75781" y="2319130"/>
          <a:ext cx="1855306" cy="22226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372717</xdr:colOff>
      <xdr:row>9</xdr:row>
      <xdr:rowOff>49696</xdr:rowOff>
    </xdr:from>
    <xdr:to>
      <xdr:col>9</xdr:col>
      <xdr:colOff>0</xdr:colOff>
      <xdr:row>13</xdr:row>
      <xdr:rowOff>82826</xdr:rowOff>
    </xdr:to>
    <xdr:sp macro="" textlink="">
      <xdr:nvSpPr>
        <xdr:cNvPr id="4" name="Speech Bubble: Rectangle with Corners Rounded 3">
          <a:extLst>
            <a:ext uri="{FF2B5EF4-FFF2-40B4-BE49-F238E27FC236}">
              <a16:creationId xmlns:a16="http://schemas.microsoft.com/office/drawing/2014/main" id="{38EC67A3-8983-EAF9-8737-DF1B5B1C6270}"/>
            </a:ext>
          </a:extLst>
        </xdr:cNvPr>
        <xdr:cNvSpPr/>
      </xdr:nvSpPr>
      <xdr:spPr>
        <a:xfrm>
          <a:off x="5325717" y="1838739"/>
          <a:ext cx="1466022" cy="762000"/>
        </a:xfrm>
        <a:prstGeom prst="wedgeRoundRectCallout">
          <a:avLst>
            <a:gd name="adj1" fmla="val 61087"/>
            <a:gd name="adj2" fmla="val 69833"/>
            <a:gd name="adj3" fmla="val 16667"/>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CA" sz="1100" kern="1200"/>
            <a:t>Please enter</a:t>
          </a:r>
          <a:r>
            <a:rPr lang="en-CA" sz="1100" kern="1200" baseline="0"/>
            <a:t> a numerical value into the price box!</a:t>
          </a:r>
          <a:endParaRPr lang="en-CA" sz="1100" kern="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388620</xdr:colOff>
          <xdr:row>3</xdr:row>
          <xdr:rowOff>38100</xdr:rowOff>
        </xdr:from>
        <xdr:to>
          <xdr:col>12</xdr:col>
          <xdr:colOff>533400</xdr:colOff>
          <xdr:row>6</xdr:row>
          <xdr:rowOff>68580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Clear Goals Table</a:t>
              </a:r>
            </a:p>
          </xdr:txBody>
        </xdr:sp>
        <xdr:clientData fPrintsWithSheet="0"/>
      </xdr:twoCellAnchor>
    </mc:Choice>
    <mc:Fallback/>
  </mc:AlternateContent>
  <xdr:twoCellAnchor>
    <xdr:from>
      <xdr:col>0</xdr:col>
      <xdr:colOff>66675</xdr:colOff>
      <xdr:row>28</xdr:row>
      <xdr:rowOff>108585</xdr:rowOff>
    </xdr:from>
    <xdr:to>
      <xdr:col>2</xdr:col>
      <xdr:colOff>472440</xdr:colOff>
      <xdr:row>38</xdr:row>
      <xdr:rowOff>175260</xdr:rowOff>
    </xdr:to>
    <xdr:sp macro="[0]!ShowIncomeForm" textlink="">
      <xdr:nvSpPr>
        <xdr:cNvPr id="3" name="Star: 5 Points 2">
          <a:extLst>
            <a:ext uri="{FF2B5EF4-FFF2-40B4-BE49-F238E27FC236}">
              <a16:creationId xmlns:a16="http://schemas.microsoft.com/office/drawing/2014/main" id="{80A4AA1A-3111-944D-84BA-CEDB991978F1}"/>
            </a:ext>
          </a:extLst>
        </xdr:cNvPr>
        <xdr:cNvSpPr/>
      </xdr:nvSpPr>
      <xdr:spPr>
        <a:xfrm>
          <a:off x="66675" y="5652135"/>
          <a:ext cx="2577465" cy="1971675"/>
        </a:xfrm>
        <a:prstGeom prst="star5">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CA" sz="1000" kern="1200"/>
            <a:t>You've</a:t>
          </a:r>
          <a:r>
            <a:rPr lang="en-CA" sz="1000" kern="1200" baseline="0"/>
            <a:t> worked hard! Click here to enter your income!</a:t>
          </a:r>
          <a:endParaRPr lang="en-CA" sz="1000" kern="1200"/>
        </a:p>
      </xdr:txBody>
    </xdr:sp>
    <xdr:clientData/>
  </xdr:twoCellAnchor>
  <mc:AlternateContent xmlns:mc="http://schemas.openxmlformats.org/markup-compatibility/2006">
    <mc:Choice xmlns:a14="http://schemas.microsoft.com/office/drawing/2010/main" Requires="a14">
      <xdr:twoCellAnchor>
        <xdr:from>
          <xdr:col>2</xdr:col>
          <xdr:colOff>213360</xdr:colOff>
          <xdr:row>34</xdr:row>
          <xdr:rowOff>83820</xdr:rowOff>
        </xdr:from>
        <xdr:to>
          <xdr:col>4</xdr:col>
          <xdr:colOff>312420</xdr:colOff>
          <xdr:row>37</xdr:row>
          <xdr:rowOff>7620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Clear Income Table</a:t>
              </a:r>
            </a:p>
          </xdr:txBody>
        </xdr:sp>
        <xdr:clientData fPrintsWithSheet="0"/>
      </xdr:twoCellAnchor>
    </mc:Choice>
    <mc:Fallback/>
  </mc:AlternateContent>
  <xdr:twoCellAnchor>
    <xdr:from>
      <xdr:col>10</xdr:col>
      <xdr:colOff>516255</xdr:colOff>
      <xdr:row>7</xdr:row>
      <xdr:rowOff>74295</xdr:rowOff>
    </xdr:from>
    <xdr:to>
      <xdr:col>13</xdr:col>
      <xdr:colOff>599440</xdr:colOff>
      <xdr:row>13</xdr:row>
      <xdr:rowOff>55245</xdr:rowOff>
    </xdr:to>
    <xdr:sp macro="[0]!ShowGoalsForm" textlink="">
      <xdr:nvSpPr>
        <xdr:cNvPr id="4" name="Thought Bubble: Cloud 3">
          <a:extLst>
            <a:ext uri="{FF2B5EF4-FFF2-40B4-BE49-F238E27FC236}">
              <a16:creationId xmlns:a16="http://schemas.microsoft.com/office/drawing/2014/main" id="{D29451C1-D911-4BCC-2714-5B264F499A13}"/>
            </a:ext>
          </a:extLst>
        </xdr:cNvPr>
        <xdr:cNvSpPr/>
      </xdr:nvSpPr>
      <xdr:spPr>
        <a:xfrm>
          <a:off x="10067232" y="1563659"/>
          <a:ext cx="2308572" cy="1071995"/>
        </a:xfrm>
        <a:prstGeom prst="cloudCallout">
          <a:avLst>
            <a:gd name="adj1" fmla="val -56946"/>
            <a:gd name="adj2" fmla="val 40056"/>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CA" sz="1100" kern="1200"/>
            <a:t>Dream you goals</a:t>
          </a:r>
          <a:r>
            <a:rPr lang="en-CA" sz="1100" kern="1200" baseline="0"/>
            <a:t> into existence! Click here to add a goal!</a:t>
          </a:r>
          <a:endParaRPr lang="en-CA" sz="1100" kern="1200"/>
        </a:p>
      </xdr:txBody>
    </xdr:sp>
    <xdr:clientData/>
  </xdr:twoCellAnchor>
  <mc:AlternateContent xmlns:mc="http://schemas.openxmlformats.org/markup-compatibility/2006">
    <mc:Choice xmlns:a14="http://schemas.microsoft.com/office/drawing/2010/main" Requires="a14">
      <xdr:twoCellAnchor>
        <xdr:from>
          <xdr:col>2</xdr:col>
          <xdr:colOff>228600</xdr:colOff>
          <xdr:row>1</xdr:row>
          <xdr:rowOff>7620</xdr:rowOff>
        </xdr:from>
        <xdr:to>
          <xdr:col>3</xdr:col>
          <xdr:colOff>861060</xdr:colOff>
          <xdr:row>1</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Dashboard</a:t>
              </a:r>
            </a:p>
          </xdr:txBody>
        </xdr:sp>
        <xdr:clientData fPrintsWithSheet="0"/>
      </xdr:twoCellAnchor>
    </mc:Choice>
    <mc:Fallback/>
  </mc:AlternateContent>
  <xdr:twoCellAnchor editAs="oneCell">
    <xdr:from>
      <xdr:col>9</xdr:col>
      <xdr:colOff>200385</xdr:colOff>
      <xdr:row>10</xdr:row>
      <xdr:rowOff>119570</xdr:rowOff>
    </xdr:from>
    <xdr:to>
      <xdr:col>10</xdr:col>
      <xdr:colOff>406976</xdr:colOff>
      <xdr:row>26</xdr:row>
      <xdr:rowOff>48053</xdr:rowOff>
    </xdr:to>
    <xdr:pic>
      <xdr:nvPicPr>
        <xdr:cNvPr id="2" name="Picture 1" descr="Katara - Png by Tagirovo on DeviantArt">
          <a:extLst>
            <a:ext uri="{FF2B5EF4-FFF2-40B4-BE49-F238E27FC236}">
              <a16:creationId xmlns:a16="http://schemas.microsoft.com/office/drawing/2014/main" id="{C61ECCB5-88B5-D5FC-ADD1-7D033FBAEEE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32658" y="2154456"/>
          <a:ext cx="925295" cy="28379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563880</xdr:colOff>
          <xdr:row>1</xdr:row>
          <xdr:rowOff>7620</xdr:rowOff>
        </xdr:from>
        <xdr:to>
          <xdr:col>7</xdr:col>
          <xdr:colOff>251460</xdr:colOff>
          <xdr:row>1</xdr:row>
          <xdr:rowOff>266700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594360</xdr:colOff>
          <xdr:row>3</xdr:row>
          <xdr:rowOff>7620</xdr:rowOff>
        </xdr:from>
        <xdr:to>
          <xdr:col>6</xdr:col>
          <xdr:colOff>579120</xdr:colOff>
          <xdr:row>5</xdr:row>
          <xdr:rowOff>121920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Enter Expected Spending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7</xdr:row>
          <xdr:rowOff>7620</xdr:rowOff>
        </xdr:from>
        <xdr:to>
          <xdr:col>6</xdr:col>
          <xdr:colOff>601980</xdr:colOff>
          <xdr:row>9</xdr:row>
          <xdr:rowOff>30480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Clear Expected Spending</a:t>
              </a:r>
            </a:p>
          </xdr:txBody>
        </xdr:sp>
        <xdr:clientData fPrintsWithSheet="0"/>
      </xdr:twoCellAnchor>
    </mc:Choice>
    <mc:Fallback/>
  </mc:AlternateContent>
  <xdr:twoCellAnchor>
    <xdr:from>
      <xdr:col>8</xdr:col>
      <xdr:colOff>0</xdr:colOff>
      <xdr:row>9</xdr:row>
      <xdr:rowOff>3810</xdr:rowOff>
    </xdr:from>
    <xdr:to>
      <xdr:col>15</xdr:col>
      <xdr:colOff>304800</xdr:colOff>
      <xdr:row>24</xdr:row>
      <xdr:rowOff>3810</xdr:rowOff>
    </xdr:to>
    <xdr:graphicFrame macro="">
      <xdr:nvGraphicFramePr>
        <xdr:cNvPr id="4" name="Chart 3">
          <a:extLst>
            <a:ext uri="{FF2B5EF4-FFF2-40B4-BE49-F238E27FC236}">
              <a16:creationId xmlns:a16="http://schemas.microsoft.com/office/drawing/2014/main" id="{6DEE8F92-950A-55AE-18EC-A796418593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137160</xdr:colOff>
      <xdr:row>2</xdr:row>
      <xdr:rowOff>91440</xdr:rowOff>
    </xdr:from>
    <xdr:to>
      <xdr:col>10</xdr:col>
      <xdr:colOff>198120</xdr:colOff>
      <xdr:row>9</xdr:row>
      <xdr:rowOff>91440</xdr:rowOff>
    </xdr:to>
    <xdr:pic>
      <xdr:nvPicPr>
        <xdr:cNvPr id="5" name="Picture 4" descr="Avatar The Last Air Bender Momo PNG by Metropolis-Hero1125 on DeviantArt">
          <a:extLst>
            <a:ext uri="{FF2B5EF4-FFF2-40B4-BE49-F238E27FC236}">
              <a16:creationId xmlns:a16="http://schemas.microsoft.com/office/drawing/2014/main" id="{6138D4EC-315C-FC03-4624-A132CBF66F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59880" y="640080"/>
          <a:ext cx="1280160" cy="1280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297180</xdr:colOff>
          <xdr:row>1</xdr:row>
          <xdr:rowOff>7620</xdr:rowOff>
        </xdr:from>
        <xdr:to>
          <xdr:col>5</xdr:col>
          <xdr:colOff>594360</xdr:colOff>
          <xdr:row>1</xdr:row>
          <xdr:rowOff>266700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Dashboard</a:t>
              </a:r>
            </a:p>
          </xdr:txBody>
        </xdr:sp>
        <xdr:clientData fPrintsWithSheet="0"/>
      </xdr:twoCellAnchor>
    </mc:Choice>
    <mc:Fallback/>
  </mc:AlternateContent>
  <xdr:twoCellAnchor>
    <xdr:from>
      <xdr:col>6</xdr:col>
      <xdr:colOff>7620</xdr:colOff>
      <xdr:row>3</xdr:row>
      <xdr:rowOff>0</xdr:rowOff>
    </xdr:from>
    <xdr:to>
      <xdr:col>13</xdr:col>
      <xdr:colOff>167640</xdr:colOff>
      <xdr:row>17</xdr:row>
      <xdr:rowOff>76200</xdr:rowOff>
    </xdr:to>
    <xdr:graphicFrame macro="">
      <xdr:nvGraphicFramePr>
        <xdr:cNvPr id="2" name="Chart 1">
          <a:extLst>
            <a:ext uri="{FF2B5EF4-FFF2-40B4-BE49-F238E27FC236}">
              <a16:creationId xmlns:a16="http://schemas.microsoft.com/office/drawing/2014/main" id="{37161A4B-5484-4637-9D97-043E80889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297180</xdr:colOff>
      <xdr:row>3</xdr:row>
      <xdr:rowOff>0</xdr:rowOff>
    </xdr:from>
    <xdr:to>
      <xdr:col>20</xdr:col>
      <xdr:colOff>525780</xdr:colOff>
      <xdr:row>17</xdr:row>
      <xdr:rowOff>83820</xdr:rowOff>
    </xdr:to>
    <xdr:graphicFrame macro="">
      <xdr:nvGraphicFramePr>
        <xdr:cNvPr id="3" name="Chart 2">
          <a:extLst>
            <a:ext uri="{FF2B5EF4-FFF2-40B4-BE49-F238E27FC236}">
              <a16:creationId xmlns:a16="http://schemas.microsoft.com/office/drawing/2014/main" id="{F74B2859-0BA0-431D-BFBF-09E89635B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457200</xdr:colOff>
      <xdr:row>3</xdr:row>
      <xdr:rowOff>22860</xdr:rowOff>
    </xdr:from>
    <xdr:to>
      <xdr:col>4</xdr:col>
      <xdr:colOff>518160</xdr:colOff>
      <xdr:row>6</xdr:row>
      <xdr:rowOff>144780</xdr:rowOff>
    </xdr:to>
    <xdr:sp macro="[0]!FindHighestSpending" textlink="">
      <xdr:nvSpPr>
        <xdr:cNvPr id="5" name="Speech Bubble: Rectangle 4">
          <a:extLst>
            <a:ext uri="{FF2B5EF4-FFF2-40B4-BE49-F238E27FC236}">
              <a16:creationId xmlns:a16="http://schemas.microsoft.com/office/drawing/2014/main" id="{8CEF1652-C9C6-8787-3110-F900F29FA4EF}"/>
            </a:ext>
          </a:extLst>
        </xdr:cNvPr>
        <xdr:cNvSpPr/>
      </xdr:nvSpPr>
      <xdr:spPr>
        <a:xfrm>
          <a:off x="1516380" y="815340"/>
          <a:ext cx="1889760" cy="670560"/>
        </a:xfrm>
        <a:prstGeom prst="wedgeRectCallout">
          <a:avLst>
            <a:gd name="adj1" fmla="val -84543"/>
            <a:gd name="adj2" fmla="val -1136"/>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CA" sz="1400" kern="1200"/>
            <a:t>Click</a:t>
          </a:r>
          <a:r>
            <a:rPr lang="en-CA" sz="1400" kern="1200" baseline="0"/>
            <a:t> here and I'll give you Financial Advice!</a:t>
          </a:r>
          <a:endParaRPr lang="en-CA" sz="1400" kern="1200"/>
        </a:p>
      </xdr:txBody>
    </xdr:sp>
    <xdr:clientData/>
  </xdr:twoCellAnchor>
  <xdr:twoCellAnchor>
    <xdr:from>
      <xdr:col>1</xdr:col>
      <xdr:colOff>441960</xdr:colOff>
      <xdr:row>7</xdr:row>
      <xdr:rowOff>167640</xdr:rowOff>
    </xdr:from>
    <xdr:to>
      <xdr:col>4</xdr:col>
      <xdr:colOff>502920</xdr:colOff>
      <xdr:row>12</xdr:row>
      <xdr:rowOff>91440</xdr:rowOff>
    </xdr:to>
    <xdr:sp macro="[0]!AnalyzeActualSpending" textlink="">
      <xdr:nvSpPr>
        <xdr:cNvPr id="6" name="Speech Bubble: Rectangle 5">
          <a:extLst>
            <a:ext uri="{FF2B5EF4-FFF2-40B4-BE49-F238E27FC236}">
              <a16:creationId xmlns:a16="http://schemas.microsoft.com/office/drawing/2014/main" id="{4AF11107-4DC9-4F4B-A7F6-6A46AF2EE874}"/>
            </a:ext>
          </a:extLst>
        </xdr:cNvPr>
        <xdr:cNvSpPr/>
      </xdr:nvSpPr>
      <xdr:spPr>
        <a:xfrm>
          <a:off x="1501140" y="1691640"/>
          <a:ext cx="1889760" cy="838200"/>
        </a:xfrm>
        <a:prstGeom prst="wedgeRectCallout">
          <a:avLst>
            <a:gd name="adj1" fmla="val -82527"/>
            <a:gd name="adj2" fmla="val -775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CA" sz="1200" kern="1200"/>
            <a:t>Click here and I'll analyze your</a:t>
          </a:r>
          <a:r>
            <a:rPr lang="en-CA" sz="1200" kern="1200" baseline="0"/>
            <a:t> expected vs. actual spending results!</a:t>
          </a:r>
          <a:endParaRPr lang="en-CA" sz="1200" kern="1200"/>
        </a:p>
      </xdr:txBody>
    </xdr:sp>
    <xdr:clientData/>
  </xdr:twoCellAnchor>
  <xdr:twoCellAnchor editAs="oneCell">
    <xdr:from>
      <xdr:col>0</xdr:col>
      <xdr:colOff>108858</xdr:colOff>
      <xdr:row>3</xdr:row>
      <xdr:rowOff>18144</xdr:rowOff>
    </xdr:from>
    <xdr:to>
      <xdr:col>0</xdr:col>
      <xdr:colOff>926913</xdr:colOff>
      <xdr:row>13</xdr:row>
      <xdr:rowOff>54431</xdr:rowOff>
    </xdr:to>
    <xdr:pic>
      <xdr:nvPicPr>
        <xdr:cNvPr id="7" name="Picture 6" descr="Iroh (Avatar) | Heroes vs Villains Wiki | Fandom">
          <a:extLst>
            <a:ext uri="{FF2B5EF4-FFF2-40B4-BE49-F238E27FC236}">
              <a16:creationId xmlns:a16="http://schemas.microsoft.com/office/drawing/2014/main" id="{8F7FBBC8-5C43-5978-F032-D5CADC617F2B}"/>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8858" y="816430"/>
          <a:ext cx="818055" cy="1850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ara Lanson" refreshedDate="45621.753222106483" createdVersion="8" refreshedVersion="8" minRefreshableVersion="3" recordCount="13" xr:uid="{D1B41B28-DFF4-4628-9152-398342295606}">
  <cacheSource type="worksheet">
    <worksheetSource name="expenses_table"/>
  </cacheSource>
  <cacheFields count="6">
    <cacheField name="Due Date" numFmtId="164">
      <sharedItems containsNonDate="0" containsDate="1" containsString="0" containsBlank="1" minDate="2012-12-12T00:00:00" maxDate="2024-12-13T00:00:00"/>
    </cacheField>
    <cacheField name="Item" numFmtId="0">
      <sharedItems containsBlank="1" containsMixedTypes="1" containsNumber="1" containsInteger="1" minValue="1200" maxValue="1200" count="5">
        <s v="Apples"/>
        <s v="Shoes"/>
        <s v="Movie Tickets"/>
        <m/>
        <n v="1200" u="1"/>
      </sharedItems>
    </cacheField>
    <cacheField name="Category" numFmtId="0">
      <sharedItems containsBlank="1" count="9">
        <s v="Groceries"/>
        <s v="Shopping"/>
        <s v="Entertainment"/>
        <m/>
        <s v="Other" u="1"/>
        <s v="Utilities" u="1"/>
        <s v="Rent" u="1"/>
        <s v="Tuition" u="1"/>
        <s v="Bills" u="1"/>
      </sharedItems>
    </cacheField>
    <cacheField name="Description" numFmtId="166">
      <sharedItems containsString="0" containsBlank="1" containsNumber="1" containsInteger="1" minValue="12" maxValue="100"/>
    </cacheField>
    <cacheField name="Paid" numFmtId="0">
      <sharedItems containsBlank="1"/>
    </cacheField>
    <cacheField name="Status" numFmtId="0">
      <sharedItems/>
    </cacheField>
  </cacheFields>
  <extLst>
    <ext xmlns:x14="http://schemas.microsoft.com/office/spreadsheetml/2009/9/main" uri="{725AE2AE-9491-48be-B2B4-4EB974FC3084}">
      <x14:pivotCacheDefinition pivotCacheId="12674925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4-12-12T00:00:00"/>
    <x v="0"/>
    <x v="0"/>
    <n v="12"/>
    <b v="0"/>
    <s v="Not Paid!"/>
  </r>
  <r>
    <d v="2012-12-12T00:00:00"/>
    <x v="1"/>
    <x v="1"/>
    <n v="100"/>
    <b v="0"/>
    <s v="Not Paid!"/>
  </r>
  <r>
    <d v="2021-12-11T00:00:00"/>
    <x v="2"/>
    <x v="2"/>
    <n v="25"/>
    <b v="0"/>
    <s v="Not Paid!"/>
  </r>
  <r>
    <m/>
    <x v="3"/>
    <x v="3"/>
    <m/>
    <b v="0"/>
    <s v="Not Paid!"/>
  </r>
  <r>
    <m/>
    <x v="3"/>
    <x v="3"/>
    <m/>
    <b v="0"/>
    <s v="Not Paid!"/>
  </r>
  <r>
    <m/>
    <x v="3"/>
    <x v="3"/>
    <m/>
    <m/>
    <s v="Not Paid!"/>
  </r>
  <r>
    <m/>
    <x v="3"/>
    <x v="3"/>
    <m/>
    <m/>
    <s v="Not Paid!"/>
  </r>
  <r>
    <m/>
    <x v="3"/>
    <x v="3"/>
    <m/>
    <m/>
    <s v="Not Paid!"/>
  </r>
  <r>
    <m/>
    <x v="3"/>
    <x v="3"/>
    <m/>
    <m/>
    <s v="Not Paid!"/>
  </r>
  <r>
    <m/>
    <x v="3"/>
    <x v="3"/>
    <m/>
    <m/>
    <s v="Not Paid!"/>
  </r>
  <r>
    <m/>
    <x v="3"/>
    <x v="3"/>
    <m/>
    <b v="0"/>
    <s v="Not Paid!"/>
  </r>
  <r>
    <m/>
    <x v="3"/>
    <x v="3"/>
    <m/>
    <b v="0"/>
    <s v="Not Paid!"/>
  </r>
  <r>
    <m/>
    <x v="3"/>
    <x v="3"/>
    <m/>
    <b v="0"/>
    <s v="Not Pai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57FA40-8B4F-4C50-A813-1F784778F34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F9" firstHeaderRow="1" firstDataRow="2" firstDataCol="1"/>
  <pivotFields count="6">
    <pivotField showAll="0"/>
    <pivotField axis="axisCol" showAll="0">
      <items count="6">
        <item x="3"/>
        <item m="1" x="4"/>
        <item x="0"/>
        <item x="1"/>
        <item x="2"/>
        <item t="default"/>
      </items>
    </pivotField>
    <pivotField axis="axisRow" showAll="0">
      <items count="10">
        <item m="1" x="8"/>
        <item x="1"/>
        <item x="3"/>
        <item x="2"/>
        <item m="1" x="4"/>
        <item m="1" x="5"/>
        <item m="1" x="7"/>
        <item m="1" x="6"/>
        <item x="0"/>
        <item t="default"/>
      </items>
    </pivotField>
    <pivotField dataField="1" showAll="0"/>
    <pivotField showAll="0"/>
    <pivotField showAll="0"/>
  </pivotFields>
  <rowFields count="1">
    <field x="2"/>
  </rowFields>
  <rowItems count="5">
    <i>
      <x v="1"/>
    </i>
    <i>
      <x v="2"/>
    </i>
    <i>
      <x v="3"/>
    </i>
    <i>
      <x v="8"/>
    </i>
    <i t="grand">
      <x/>
    </i>
  </rowItems>
  <colFields count="1">
    <field x="1"/>
  </colFields>
  <colItems count="5">
    <i>
      <x/>
    </i>
    <i>
      <x v="2"/>
    </i>
    <i>
      <x v="3"/>
    </i>
    <i>
      <x v="4"/>
    </i>
    <i t="grand">
      <x/>
    </i>
  </colItems>
  <dataFields count="1">
    <dataField name="Sum of Description" fld="3" baseField="0" baseItem="0"/>
  </dataFields>
  <formats count="2">
    <format dxfId="19">
      <pivotArea outline="0" collapsedLevelsAreSubtotals="1" fieldPosition="0">
        <references count="1">
          <reference field="1" count="1" selected="0">
            <x v="1"/>
          </reference>
        </references>
      </pivotArea>
    </format>
    <format dxfId="18">
      <pivotArea grandCol="1" outline="0" collapsedLevelsAreSubtotals="1" fieldPosition="0"/>
    </format>
  </formats>
  <chartFormats count="7">
    <chartFormat chart="0" format="20" series="1">
      <pivotArea type="data" outline="0" fieldPosition="0">
        <references count="1">
          <reference field="1" count="1" selected="0">
            <x v="0"/>
          </reference>
        </references>
      </pivotArea>
    </chartFormat>
    <chartFormat chart="0" format="31" series="1">
      <pivotArea type="data" outline="0" fieldPosition="0">
        <references count="2">
          <reference field="4294967294" count="1" selected="0">
            <x v="0"/>
          </reference>
          <reference field="1" count="1" selected="0">
            <x v="0"/>
          </reference>
        </references>
      </pivotArea>
    </chartFormat>
    <chartFormat chart="0" format="34" series="1">
      <pivotArea type="data" outline="0" fieldPosition="0">
        <references count="2">
          <reference field="4294967294" count="1" selected="0">
            <x v="0"/>
          </reference>
          <reference field="1" count="1" selected="0">
            <x v="1"/>
          </reference>
        </references>
      </pivotArea>
    </chartFormat>
    <chartFormat chart="0" format="47" series="1">
      <pivotArea type="data" outline="0" fieldPosition="0">
        <references count="2">
          <reference field="4294967294" count="1" selected="0">
            <x v="0"/>
          </reference>
          <reference field="1" count="1" selected="0">
            <x v="3"/>
          </reference>
        </references>
      </pivotArea>
    </chartFormat>
    <chartFormat chart="0" format="48" series="1">
      <pivotArea type="data" outline="0" fieldPosition="0">
        <references count="2">
          <reference field="4294967294" count="1" selected="0">
            <x v="0"/>
          </reference>
          <reference field="1" count="1" selected="0">
            <x v="4"/>
          </reference>
        </references>
      </pivotArea>
    </chartFormat>
    <chartFormat chart="0" format="49" series="1">
      <pivotArea type="data" outline="0" fieldPosition="0">
        <references count="2">
          <reference field="4294967294" count="1" selected="0">
            <x v="0"/>
          </reference>
          <reference field="1" count="1" selected="0">
            <x v="2"/>
          </reference>
        </references>
      </pivotArea>
    </chartFormat>
    <chartFormat chart="0" format="5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6DAA68B-444F-401F-B618-BDD12E83A5AC}" sourceName="Category">
  <pivotTables>
    <pivotTable tabId="5" name="PivotTable1"/>
  </pivotTables>
  <data>
    <tabular pivotCacheId="1267492551">
      <items count="9">
        <i x="2" s="1"/>
        <i x="0" s="1"/>
        <i x="1" s="1"/>
        <i x="8" s="1" nd="1"/>
        <i x="4" s="1" nd="1"/>
        <i x="6" s="1" nd="1"/>
        <i x="7" s="1" nd="1"/>
        <i x="5"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DC34305B-0C77-4E7C-AEAB-E195BE532A4D}" cache="Slicer_Category" caption="Category" startItem="2"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CDD594-87DB-4DA7-A8BB-7519C72E46D2}" name="expenses_table" displayName="expenses_table" ref="A3:F16" totalsRowShown="0" headerRowDxfId="14" headerRowBorderDxfId="13" tableBorderDxfId="12" headerRowCellStyle="Accent5">
  <autoFilter ref="A3:F16" xr:uid="{DECDD594-87DB-4DA7-A8BB-7519C72E46D2}"/>
  <tableColumns count="6">
    <tableColumn id="1" xr3:uid="{A4E793DD-6684-49E1-B6B3-50379CDFC35D}" name="Due Date" dataDxfId="11"/>
    <tableColumn id="2" xr3:uid="{BCC7BC4E-4409-4439-8B23-1C480F37BCEC}" name="Item"/>
    <tableColumn id="3" xr3:uid="{E9A40882-55B6-4DAA-A902-EC015C09971A}" name="Category"/>
    <tableColumn id="4" xr3:uid="{FC6150EF-9CE4-4D06-83CF-1B8DF6658F11}" name="Description" dataDxfId="10"/>
    <tableColumn id="5" xr3:uid="{9090C752-1C54-4D62-B9B1-EBF61364A064}" name="Paid"/>
    <tableColumn id="6" xr3:uid="{9925C9BA-31D6-45EA-BE28-9FF641CD1C30}" name="Status" dataDxfId="9">
      <calculatedColumnFormula>IF($E4 = FALSE, "Not Paid!", "Paid!")</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EEE3E-CFD7-4A8B-8ADA-77A53DE4E592}" name="Table7" displayName="Table7" ref="K3:L11" totalsRowShown="0" tableBorderDxfId="8">
  <autoFilter ref="K3:L11" xr:uid="{545EEE3E-CFD7-4A8B-8ADA-77A53DE4E592}"/>
  <tableColumns count="2">
    <tableColumn id="1" xr3:uid="{FAB42A70-5504-42EB-9D7F-859A77951D1C}" name="Categories"/>
    <tableColumn id="2" xr3:uid="{36936DA7-361E-4F6C-975A-C94080E0F653}" name="Cost Sum"/>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64CD86-D008-432F-ABD1-E198AC6DA344}" name="SummaryTable2" displayName="SummaryTable2" ref="O3:P10" totalsRowShown="0">
  <autoFilter ref="O3:P10" xr:uid="{1264CD86-D008-432F-ABD1-E198AC6DA344}"/>
  <tableColumns count="2">
    <tableColumn id="1" xr3:uid="{1EAB4613-3312-430F-918F-2DDBC7252E26}" name="Categories"/>
    <tableColumn id="2" xr3:uid="{FF7A6433-0FF9-4EFF-AA96-DD2645C9E224}" name="Cost Sum" dataDxfId="5"/>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969ABA-05FA-4395-8E48-0BBB28DBE6DA}" name="income_table" displayName="income_table" ref="A3:D26" totalsRowShown="0">
  <autoFilter ref="A3:D26" xr:uid="{11969ABA-05FA-4395-8E48-0BBB28DBE6DA}"/>
  <tableColumns count="4">
    <tableColumn id="1" xr3:uid="{ADF35400-93EC-43DB-8BAA-7C83BB7D3AE4}" name="Date"/>
    <tableColumn id="2" xr3:uid="{34C2806B-2F15-46EA-B6A6-E3C885C1E510}" name="Source"/>
    <tableColumn id="3" xr3:uid="{C68AD2B8-5C45-4107-9494-4C8FA531E4F9}" name="Category"/>
    <tableColumn id="4" xr3:uid="{85F10E2D-B27B-4E4E-803F-533C906DA3E8}" name="Description" dataDxfId="4"/>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B2CF71-D474-40D1-A8C8-8B81DA247153}" name="goals_table" displayName="goals_table" ref="G3:I26" totalsRowShown="0">
  <autoFilter ref="G3:I26" xr:uid="{57B2CF71-D474-40D1-A8C8-8B81DA247153}"/>
  <tableColumns count="3">
    <tableColumn id="1" xr3:uid="{67E0392B-D077-46A0-BF0E-23AFBA359B06}" name="Monetary Goal" dataDxfId="3"/>
    <tableColumn id="2" xr3:uid="{CD340F87-3976-49F9-A546-4602F20969FB}" name="Date"/>
    <tableColumn id="4" xr3:uid="{B9448603-60D9-4625-96F7-3860E0B486BB}" name="Achievement Status" dataDxfId="2">
      <calculatedColumnFormula>IF($G4 &lt;= $D$29-P12, "Achieved!", "Not Yet!")</calculatedColumnFormula>
    </tableColumn>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CA97EBD-E9A8-4832-A51C-053328726427}" name="ExpectedSpendingTable" displayName="ExpectedSpendingTable" ref="A3:C11" totalsRowShown="0">
  <autoFilter ref="A3:C11" xr:uid="{ECA97EBD-E9A8-4832-A51C-053328726427}"/>
  <tableColumns count="3">
    <tableColumn id="1" xr3:uid="{8DE960ED-37C5-4778-AF50-2107CEBC5486}" name="Category" dataDxfId="1"/>
    <tableColumn id="2" xr3:uid="{B4078BFF-E5DA-4287-960D-E7DF10235DAD}" name="Expected Spending" dataDxfId="0"/>
    <tableColumn id="3" xr3:uid="{E3F9ECE0-0F28-48EE-9000-0F4860659893}" name="Actual Spending"/>
  </tableColumns>
  <tableStyleInfo name="TableStyleLight2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vmlDrawing" Target="../drawings/vmlDrawing2.vml"/><Relationship Id="rId21" Type="http://schemas.openxmlformats.org/officeDocument/2006/relationships/table" Target="../tables/table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17.xml"/><Relationship Id="rId20"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trlProp" Target="../ctrlProps/ctrlProp21.xml"/><Relationship Id="rId7"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3.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6.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9458C-CE0F-40CF-8AC3-60AFE9B43348}">
  <sheetPr codeName="Sheet5">
    <tabColor theme="9" tint="-0.499984740745262"/>
  </sheetPr>
  <dimension ref="A1:G12"/>
  <sheetViews>
    <sheetView tabSelected="1" zoomScale="72" zoomScaleNormal="75" workbookViewId="0">
      <selection activeCell="H5" sqref="H5"/>
    </sheetView>
  </sheetViews>
  <sheetFormatPr defaultColWidth="8.88671875" defaultRowHeight="14.4" x14ac:dyDescent="0.3"/>
  <cols>
    <col min="1" max="1" width="17.88671875" style="5" bestFit="1" customWidth="1"/>
    <col min="2" max="2" width="15.77734375" style="5" bestFit="1" customWidth="1"/>
    <col min="3" max="3" width="6.44140625" style="5" bestFit="1" customWidth="1"/>
    <col min="4" max="4" width="5.77734375" style="5" bestFit="1" customWidth="1"/>
    <col min="5" max="5" width="12.44140625" style="5" bestFit="1" customWidth="1"/>
    <col min="6" max="6" width="10.88671875" style="5" bestFit="1" customWidth="1"/>
    <col min="7" max="7" width="8.88671875" style="5" bestFit="1" customWidth="1"/>
    <col min="8" max="8" width="4" style="5" bestFit="1" customWidth="1"/>
    <col min="9" max="9" width="5.44140625" style="5" bestFit="1" customWidth="1"/>
    <col min="10" max="10" width="11.109375" style="5" bestFit="1" customWidth="1"/>
    <col min="11" max="11" width="23" style="5" bestFit="1" customWidth="1"/>
    <col min="12" max="16384" width="8.88671875" style="5"/>
  </cols>
  <sheetData>
    <row r="1" spans="1:7" s="8" customFormat="1" x14ac:dyDescent="0.3"/>
    <row r="2" spans="1:7" s="8" customFormat="1" ht="31.2" x14ac:dyDescent="0.6">
      <c r="A2" s="11" t="s">
        <v>19</v>
      </c>
    </row>
    <row r="3" spans="1:7" x14ac:dyDescent="0.3">
      <c r="A3" s="2" t="s">
        <v>9</v>
      </c>
      <c r="B3" s="2" t="s">
        <v>13</v>
      </c>
      <c r="C3"/>
      <c r="D3"/>
      <c r="E3"/>
      <c r="F3"/>
    </row>
    <row r="4" spans="1:7" x14ac:dyDescent="0.3">
      <c r="A4" s="2" t="s">
        <v>8</v>
      </c>
      <c r="B4" t="s">
        <v>14</v>
      </c>
      <c r="C4" t="s">
        <v>31</v>
      </c>
      <c r="D4" t="s">
        <v>33</v>
      </c>
      <c r="E4" t="s">
        <v>34</v>
      </c>
      <c r="F4" t="s">
        <v>7</v>
      </c>
    </row>
    <row r="5" spans="1:7" x14ac:dyDescent="0.3">
      <c r="A5" s="3" t="s">
        <v>17</v>
      </c>
      <c r="B5"/>
      <c r="C5"/>
      <c r="D5">
        <v>100</v>
      </c>
      <c r="E5"/>
      <c r="F5" s="4">
        <v>100</v>
      </c>
    </row>
    <row r="6" spans="1:7" x14ac:dyDescent="0.3">
      <c r="A6" s="3" t="s">
        <v>14</v>
      </c>
      <c r="B6"/>
      <c r="C6"/>
      <c r="D6"/>
      <c r="E6"/>
      <c r="F6" s="4"/>
    </row>
    <row r="7" spans="1:7" x14ac:dyDescent="0.3">
      <c r="A7" s="3" t="s">
        <v>5</v>
      </c>
      <c r="B7"/>
      <c r="C7"/>
      <c r="D7"/>
      <c r="E7">
        <v>25</v>
      </c>
      <c r="F7" s="4">
        <v>25</v>
      </c>
    </row>
    <row r="8" spans="1:7" x14ac:dyDescent="0.3">
      <c r="A8" s="3" t="s">
        <v>32</v>
      </c>
      <c r="B8"/>
      <c r="C8">
        <v>12</v>
      </c>
      <c r="D8"/>
      <c r="E8"/>
      <c r="F8" s="4">
        <v>12</v>
      </c>
    </row>
    <row r="9" spans="1:7" x14ac:dyDescent="0.3">
      <c r="A9" s="3" t="s">
        <v>7</v>
      </c>
      <c r="B9"/>
      <c r="C9">
        <v>12</v>
      </c>
      <c r="D9">
        <v>100</v>
      </c>
      <c r="E9">
        <v>25</v>
      </c>
      <c r="F9" s="4">
        <v>137</v>
      </c>
    </row>
    <row r="12" spans="1:7" x14ac:dyDescent="0.3">
      <c r="G12" s="7"/>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Expenses">
                <anchor moveWithCells="1" sizeWithCells="1">
                  <from>
                    <xdr:col>0</xdr:col>
                    <xdr:colOff>76200</xdr:colOff>
                    <xdr:row>13</xdr:row>
                    <xdr:rowOff>76200</xdr:rowOff>
                  </from>
                  <to>
                    <xdr:col>1</xdr:col>
                    <xdr:colOff>45720</xdr:colOff>
                    <xdr:row>16</xdr:row>
                    <xdr:rowOff>121920</xdr:rowOff>
                  </to>
                </anchor>
              </controlPr>
            </control>
          </mc:Choice>
        </mc:AlternateContent>
        <mc:AlternateContent xmlns:mc="http://schemas.openxmlformats.org/markup-compatibility/2006">
          <mc:Choice Requires="x14">
            <control shapeId="7172" r:id="rId6" name="Button 4">
              <controlPr defaultSize="0" print="0" autoFill="0" autoPict="0" macro="[0]!GoToIncome">
                <anchor moveWithCells="1" sizeWithCells="1">
                  <from>
                    <xdr:col>1</xdr:col>
                    <xdr:colOff>220980</xdr:colOff>
                    <xdr:row>13</xdr:row>
                    <xdr:rowOff>45720</xdr:rowOff>
                  </from>
                  <to>
                    <xdr:col>3</xdr:col>
                    <xdr:colOff>411480</xdr:colOff>
                    <xdr:row>16</xdr:row>
                    <xdr:rowOff>144780</xdr:rowOff>
                  </to>
                </anchor>
              </controlPr>
            </control>
          </mc:Choice>
        </mc:AlternateContent>
        <mc:AlternateContent xmlns:mc="http://schemas.openxmlformats.org/markup-compatibility/2006">
          <mc:Choice Requires="x14">
            <control shapeId="7173" r:id="rId7" name="Button 5">
              <controlPr defaultSize="0" print="0" autoFill="0" autoPict="0" macro="[0]!GoToFinancialAdvice">
                <anchor moveWithCells="1" sizeWithCells="1">
                  <from>
                    <xdr:col>4</xdr:col>
                    <xdr:colOff>76200</xdr:colOff>
                    <xdr:row>13</xdr:row>
                    <xdr:rowOff>45720</xdr:rowOff>
                  </from>
                  <to>
                    <xdr:col>6</xdr:col>
                    <xdr:colOff>502920</xdr:colOff>
                    <xdr:row>16</xdr:row>
                    <xdr:rowOff>144780</xdr:rowOff>
                  </to>
                </anchor>
              </controlPr>
            </control>
          </mc:Choice>
        </mc:AlternateContent>
        <mc:AlternateContent xmlns:mc="http://schemas.openxmlformats.org/markup-compatibility/2006">
          <mc:Choice Requires="x14">
            <control shapeId="7174" r:id="rId8" name="Button 6">
              <controlPr defaultSize="0" print="0" autoFill="0" autoPict="0" macro="[0]!GoToExpectedSpending">
                <anchor moveWithCells="1" sizeWithCells="1">
                  <from>
                    <xdr:col>7</xdr:col>
                    <xdr:colOff>68580</xdr:colOff>
                    <xdr:row>13</xdr:row>
                    <xdr:rowOff>38100</xdr:rowOff>
                  </from>
                  <to>
                    <xdr:col>10</xdr:col>
                    <xdr:colOff>754380</xdr:colOff>
                    <xdr:row>16</xdr:row>
                    <xdr:rowOff>137160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499984740745262"/>
  </sheetPr>
  <dimension ref="A1:L44"/>
  <sheetViews>
    <sheetView topLeftCell="A2" zoomScale="92" zoomScaleNormal="100" workbookViewId="0">
      <selection activeCell="D31" sqref="D31"/>
    </sheetView>
  </sheetViews>
  <sheetFormatPr defaultRowHeight="14.4" x14ac:dyDescent="0.3"/>
  <cols>
    <col min="1" max="1" width="14" customWidth="1"/>
    <col min="2" max="2" width="12.44140625" customWidth="1"/>
    <col min="3" max="3" width="15.6640625" customWidth="1"/>
    <col min="4" max="4" width="12.109375" style="4" customWidth="1"/>
    <col min="5" max="5" width="8.88671875" customWidth="1"/>
    <col min="6" max="6" width="9.109375" style="17"/>
    <col min="11" max="11" width="12.5546875" customWidth="1"/>
    <col min="12" max="12" width="11.33203125" style="4" customWidth="1"/>
    <col min="18" max="18" width="10.44140625" customWidth="1"/>
    <col min="19" max="19" width="12.33203125" customWidth="1"/>
  </cols>
  <sheetData>
    <row r="1" spans="1:12" s="8" customFormat="1" ht="15" customHeight="1" x14ac:dyDescent="0.3">
      <c r="D1" s="10"/>
      <c r="F1" s="18"/>
      <c r="L1" s="10"/>
    </row>
    <row r="2" spans="1:12" s="8" customFormat="1" ht="25.5" customHeight="1" x14ac:dyDescent="0.65">
      <c r="A2" s="9" t="s">
        <v>20</v>
      </c>
      <c r="D2" s="10"/>
      <c r="F2" s="18"/>
      <c r="L2" s="10"/>
    </row>
    <row r="3" spans="1:12" x14ac:dyDescent="0.3">
      <c r="A3" s="12" t="s">
        <v>12</v>
      </c>
      <c r="B3" s="13" t="s">
        <v>1</v>
      </c>
      <c r="C3" s="13" t="s">
        <v>2</v>
      </c>
      <c r="D3" s="14" t="s">
        <v>3</v>
      </c>
      <c r="E3" s="13" t="s">
        <v>11</v>
      </c>
      <c r="F3" s="13" t="s">
        <v>30</v>
      </c>
      <c r="K3" s="27" t="s">
        <v>15</v>
      </c>
      <c r="L3" s="28" t="s">
        <v>16</v>
      </c>
    </row>
    <row r="4" spans="1:12" x14ac:dyDescent="0.3">
      <c r="A4" s="1">
        <v>45638</v>
      </c>
      <c r="B4" t="s">
        <v>31</v>
      </c>
      <c r="C4" t="s">
        <v>32</v>
      </c>
      <c r="D4" s="4">
        <v>12</v>
      </c>
      <c r="E4" s="6" t="b">
        <v>0</v>
      </c>
      <c r="F4" s="17" t="str">
        <f t="shared" ref="F4:F16" si="0">IF($E4 = FALSE, "Not Paid!", "Paid!")</f>
        <v>Not Paid!</v>
      </c>
      <c r="K4" s="21" t="s">
        <v>6</v>
      </c>
      <c r="L4" s="24">
        <f>SUMIFS(D:D,C:C,"Bills")</f>
        <v>0</v>
      </c>
    </row>
    <row r="5" spans="1:12" x14ac:dyDescent="0.3">
      <c r="A5" s="1">
        <v>41255</v>
      </c>
      <c r="B5" t="s">
        <v>33</v>
      </c>
      <c r="C5" t="s">
        <v>17</v>
      </c>
      <c r="D5" s="4">
        <v>100</v>
      </c>
      <c r="E5" s="6" t="b">
        <v>0</v>
      </c>
      <c r="F5" s="17" t="str">
        <f t="shared" si="0"/>
        <v>Not Paid!</v>
      </c>
      <c r="K5" s="22" t="s">
        <v>5</v>
      </c>
      <c r="L5" s="25">
        <f>SUMIFS(D:D,C:C,"Entertainment")</f>
        <v>25</v>
      </c>
    </row>
    <row r="6" spans="1:12" x14ac:dyDescent="0.3">
      <c r="A6" s="1">
        <v>44541</v>
      </c>
      <c r="B6" t="s">
        <v>34</v>
      </c>
      <c r="C6" t="s">
        <v>5</v>
      </c>
      <c r="D6" s="4">
        <v>25</v>
      </c>
      <c r="E6" s="6" t="b">
        <v>0</v>
      </c>
      <c r="F6" s="17" t="str">
        <f t="shared" si="0"/>
        <v>Not Paid!</v>
      </c>
      <c r="K6" s="21" t="s">
        <v>21</v>
      </c>
      <c r="L6" s="24">
        <f>SUMIFS(D:D, C:C, "Tuition")</f>
        <v>0</v>
      </c>
    </row>
    <row r="7" spans="1:12" x14ac:dyDescent="0.3">
      <c r="A7" s="1"/>
      <c r="E7" s="6" t="b">
        <v>0</v>
      </c>
      <c r="F7" s="17" t="str">
        <f t="shared" si="0"/>
        <v>Not Paid!</v>
      </c>
      <c r="K7" s="22" t="s">
        <v>22</v>
      </c>
      <c r="L7" s="25">
        <f>SUMIFS(D:D, C:C, "Utilities")</f>
        <v>0</v>
      </c>
    </row>
    <row r="8" spans="1:12" x14ac:dyDescent="0.3">
      <c r="A8" s="1"/>
      <c r="E8" s="6" t="b">
        <v>0</v>
      </c>
      <c r="F8" s="17" t="str">
        <f t="shared" si="0"/>
        <v>Not Paid!</v>
      </c>
      <c r="K8" s="21" t="s">
        <v>23</v>
      </c>
      <c r="L8" s="24">
        <f>SUMIFS(D:D, C:C, "Rent")</f>
        <v>0</v>
      </c>
    </row>
    <row r="9" spans="1:12" x14ac:dyDescent="0.3">
      <c r="A9" s="1"/>
      <c r="E9" s="6"/>
      <c r="F9" s="17" t="str">
        <f t="shared" si="0"/>
        <v>Not Paid!</v>
      </c>
      <c r="K9" s="23" t="s">
        <v>32</v>
      </c>
      <c r="L9" s="26">
        <f>SUMIFS(D:D, C:C, "Groceries")</f>
        <v>12</v>
      </c>
    </row>
    <row r="10" spans="1:12" x14ac:dyDescent="0.3">
      <c r="A10" s="1"/>
      <c r="E10" s="6"/>
      <c r="F10" s="17" t="str">
        <f t="shared" si="0"/>
        <v>Not Paid!</v>
      </c>
      <c r="K10" s="21" t="s">
        <v>17</v>
      </c>
      <c r="L10" s="24">
        <f>SUMIFS(D:D,C:C,"Shopping")</f>
        <v>100</v>
      </c>
    </row>
    <row r="11" spans="1:12" x14ac:dyDescent="0.3">
      <c r="A11" s="1"/>
      <c r="E11" s="6"/>
      <c r="F11" s="17" t="str">
        <f t="shared" si="0"/>
        <v>Not Paid!</v>
      </c>
      <c r="K11" s="23" t="s">
        <v>18</v>
      </c>
      <c r="L11" s="26">
        <f>SUMIFS(D:D,C:C,"Other")</f>
        <v>0</v>
      </c>
    </row>
    <row r="12" spans="1:12" x14ac:dyDescent="0.3">
      <c r="A12" s="1"/>
      <c r="E12" s="6"/>
      <c r="F12" s="17" t="str">
        <f t="shared" si="0"/>
        <v>Not Paid!</v>
      </c>
    </row>
    <row r="13" spans="1:12" x14ac:dyDescent="0.3">
      <c r="A13" s="1"/>
      <c r="E13" s="6"/>
      <c r="F13" s="17" t="str">
        <f t="shared" si="0"/>
        <v>Not Paid!</v>
      </c>
    </row>
    <row r="14" spans="1:12" x14ac:dyDescent="0.3">
      <c r="A14" s="1"/>
      <c r="E14" s="6" t="b">
        <v>0</v>
      </c>
      <c r="F14" s="17" t="str">
        <f t="shared" si="0"/>
        <v>Not Paid!</v>
      </c>
    </row>
    <row r="15" spans="1:12" x14ac:dyDescent="0.3">
      <c r="A15" s="1"/>
      <c r="E15" s="6" t="b">
        <v>0</v>
      </c>
      <c r="F15" s="17" t="str">
        <f t="shared" si="0"/>
        <v>Not Paid!</v>
      </c>
    </row>
    <row r="16" spans="1:12" x14ac:dyDescent="0.3">
      <c r="A16" s="1"/>
      <c r="E16" s="6" t="b">
        <v>0</v>
      </c>
      <c r="F16" s="17" t="str">
        <f t="shared" si="0"/>
        <v>Not Paid!</v>
      </c>
    </row>
    <row r="17" spans="1:12" x14ac:dyDescent="0.3">
      <c r="A17" s="1"/>
      <c r="E17" s="6" t="b">
        <v>0</v>
      </c>
    </row>
    <row r="18" spans="1:12" x14ac:dyDescent="0.3">
      <c r="A18" s="1"/>
      <c r="K18" s="4"/>
      <c r="L18"/>
    </row>
    <row r="19" spans="1:12" x14ac:dyDescent="0.3">
      <c r="A19" s="1"/>
    </row>
    <row r="20" spans="1:12" x14ac:dyDescent="0.3">
      <c r="A20" s="1"/>
    </row>
    <row r="21" spans="1:12" x14ac:dyDescent="0.3">
      <c r="A21" s="1"/>
    </row>
    <row r="22" spans="1:12" x14ac:dyDescent="0.3">
      <c r="A22" s="1"/>
    </row>
    <row r="23" spans="1:12" x14ac:dyDescent="0.3">
      <c r="A23" s="1"/>
    </row>
    <row r="24" spans="1:12" x14ac:dyDescent="0.3">
      <c r="A24" s="1"/>
    </row>
    <row r="25" spans="1:12" x14ac:dyDescent="0.3">
      <c r="A25" s="1"/>
    </row>
    <row r="26" spans="1:12" x14ac:dyDescent="0.3">
      <c r="A26" s="1"/>
    </row>
    <row r="27" spans="1:12" x14ac:dyDescent="0.3">
      <c r="A27" s="1"/>
    </row>
    <row r="28" spans="1:12" x14ac:dyDescent="0.3">
      <c r="A28" s="1"/>
    </row>
    <row r="29" spans="1:12" x14ac:dyDescent="0.3">
      <c r="A29" s="1"/>
    </row>
    <row r="30" spans="1:12" x14ac:dyDescent="0.3">
      <c r="A30" s="1"/>
    </row>
    <row r="31" spans="1:12" x14ac:dyDescent="0.3">
      <c r="A31" s="1"/>
    </row>
    <row r="32" spans="1:12" x14ac:dyDescent="0.3">
      <c r="A32" s="1"/>
    </row>
    <row r="33" spans="1:1" x14ac:dyDescent="0.3">
      <c r="A33" s="1"/>
    </row>
    <row r="34" spans="1:1" x14ac:dyDescent="0.3">
      <c r="A34" s="1"/>
    </row>
    <row r="35" spans="1:1" x14ac:dyDescent="0.3">
      <c r="A35" s="1"/>
    </row>
    <row r="36" spans="1:1" x14ac:dyDescent="0.3">
      <c r="A36" s="1"/>
    </row>
    <row r="37" spans="1:1" x14ac:dyDescent="0.3">
      <c r="A37" s="1"/>
    </row>
    <row r="38" spans="1:1" x14ac:dyDescent="0.3">
      <c r="A38" s="1"/>
    </row>
    <row r="39" spans="1:1" x14ac:dyDescent="0.3">
      <c r="A39" s="1"/>
    </row>
    <row r="40" spans="1:1" x14ac:dyDescent="0.3">
      <c r="A40" s="1"/>
    </row>
    <row r="41" spans="1:1" x14ac:dyDescent="0.3">
      <c r="A41" s="1"/>
    </row>
    <row r="42" spans="1:1" x14ac:dyDescent="0.3">
      <c r="A42" s="1"/>
    </row>
    <row r="43" spans="1:1" x14ac:dyDescent="0.3">
      <c r="A43" s="1"/>
    </row>
    <row r="44" spans="1:1" x14ac:dyDescent="0.3">
      <c r="A44" s="1"/>
    </row>
  </sheetData>
  <phoneticPr fontId="2" type="noConversion"/>
  <conditionalFormatting sqref="F17:F1048576">
    <cfRule type="expression" dxfId="17" priority="4">
      <formula>A17="Not Paid!"</formula>
    </cfRule>
  </conditionalFormatting>
  <conditionalFormatting sqref="F4:F1048576">
    <cfRule type="expression" dxfId="16" priority="1">
      <formula>F4="Paid!"</formula>
    </cfRule>
    <cfRule type="expression" dxfId="15" priority="3">
      <formula>F4="Not Paid!"</formula>
    </cfRule>
  </conditionalFormatting>
  <dataValidations count="5">
    <dataValidation type="custom" allowBlank="1" showInputMessage="1" showErrorMessage="1" errorTitle="Invalid Entry" error="Please enter a numerical price for &quot;Description&quot; (without a dollar sign)." sqref="D5:D6 C4:C15 D32:D1048576 D3 D17" xr:uid="{536A7488-62BD-4916-96EF-4845D70DE7EF}">
      <formula1>ISNUMBER(C4)</formula1>
    </dataValidation>
    <dataValidation type="custom" allowBlank="1" showInputMessage="1" showErrorMessage="1" errorTitle="Invalid Entry" error="Please enter a numerical price for &quot;Description&quot; (without a dollar sign)." sqref="C16" xr:uid="{E30EE1E3-8A9B-4ACC-A5F2-E5360AD6F7BC}">
      <formula1>ISNUMBER(D32)</formula1>
    </dataValidation>
    <dataValidation type="custom" allowBlank="1" showInputMessage="1" showErrorMessage="1" errorTitle="Invalid Entry" error="Please enter a numerical price for &quot;Description&quot; (without a dollar sign)." sqref="D7:D16" xr:uid="{BCC308E7-4F76-4FFA-86FE-6C2141C5B0EF}">
      <formula1>ISNUMBER(#REF!)</formula1>
    </dataValidation>
    <dataValidation type="custom" allowBlank="1" showInputMessage="1" showErrorMessage="1" errorTitle="Invalid Entry" error="Please enter a numerical price for &quot;Description&quot; (without a dollar sign)." sqref="D18" xr:uid="{F215B882-E9E4-4440-9CAD-5EE1F150EA9B}">
      <formula1>ISNUMBER(C4)</formula1>
    </dataValidation>
    <dataValidation type="custom" allowBlank="1" showInputMessage="1" showErrorMessage="1" errorTitle="Invalid Entry" error="Please enter a numerical price for &quot;Description&quot; (without a dollar sign)." sqref="D4" xr:uid="{18C5EF3D-5F18-4747-8BFD-DFF961505F9C}">
      <formula1>ISNUMBER(D:D)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utton3_Click">
                <anchor moveWithCells="1" sizeWithCells="1">
                  <from>
                    <xdr:col>6</xdr:col>
                    <xdr:colOff>312420</xdr:colOff>
                    <xdr:row>2</xdr:row>
                    <xdr:rowOff>160020</xdr:rowOff>
                  </from>
                  <to>
                    <xdr:col>8</xdr:col>
                    <xdr:colOff>365760</xdr:colOff>
                    <xdr:row>4</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learTableContents">
                <anchor moveWithCells="1" sizeWithCells="1">
                  <from>
                    <xdr:col>6</xdr:col>
                    <xdr:colOff>312420</xdr:colOff>
                    <xdr:row>5</xdr:row>
                    <xdr:rowOff>160020</xdr:rowOff>
                  </from>
                  <to>
                    <xdr:col>8</xdr:col>
                    <xdr:colOff>373380</xdr:colOff>
                    <xdr:row>7</xdr:row>
                    <xdr:rowOff>160020</xdr:rowOff>
                  </to>
                </anchor>
              </controlPr>
            </control>
          </mc:Choice>
        </mc:AlternateContent>
        <mc:AlternateContent xmlns:mc="http://schemas.openxmlformats.org/markup-compatibility/2006">
          <mc:Choice Requires="x14">
            <control shapeId="1052" r:id="rId6" name="Check Box 28">
              <controlPr defaultSize="0" autoFill="0" autoLine="0" autoPict="0">
                <anchor moveWithCells="1">
                  <from>
                    <xdr:col>4</xdr:col>
                    <xdr:colOff>0</xdr:colOff>
                    <xdr:row>2</xdr:row>
                    <xdr:rowOff>175260</xdr:rowOff>
                  </from>
                  <to>
                    <xdr:col>5</xdr:col>
                    <xdr:colOff>0</xdr:colOff>
                    <xdr:row>4</xdr:row>
                    <xdr:rowOff>0</xdr:rowOff>
                  </to>
                </anchor>
              </controlPr>
            </control>
          </mc:Choice>
        </mc:AlternateContent>
        <mc:AlternateContent xmlns:mc="http://schemas.openxmlformats.org/markup-compatibility/2006">
          <mc:Choice Requires="x14">
            <control shapeId="1053" r:id="rId7" name="Check Box 29">
              <controlPr defaultSize="0" autoFill="0" autoLine="0" autoPict="0">
                <anchor moveWithCells="1">
                  <from>
                    <xdr:col>3</xdr:col>
                    <xdr:colOff>822960</xdr:colOff>
                    <xdr:row>3</xdr:row>
                    <xdr:rowOff>175260</xdr:rowOff>
                  </from>
                  <to>
                    <xdr:col>4</xdr:col>
                    <xdr:colOff>601980</xdr:colOff>
                    <xdr:row>5</xdr:row>
                    <xdr:rowOff>22860</xdr:rowOff>
                  </to>
                </anchor>
              </controlPr>
            </control>
          </mc:Choice>
        </mc:AlternateContent>
        <mc:AlternateContent xmlns:mc="http://schemas.openxmlformats.org/markup-compatibility/2006">
          <mc:Choice Requires="x14">
            <control shapeId="1054" r:id="rId8" name="Check Box 30">
              <controlPr defaultSize="0" autoFill="0" autoLine="0" autoPict="0">
                <anchor moveWithCells="1">
                  <from>
                    <xdr:col>3</xdr:col>
                    <xdr:colOff>822960</xdr:colOff>
                    <xdr:row>4</xdr:row>
                    <xdr:rowOff>175260</xdr:rowOff>
                  </from>
                  <to>
                    <xdr:col>4</xdr:col>
                    <xdr:colOff>601980</xdr:colOff>
                    <xdr:row>6</xdr:row>
                    <xdr:rowOff>30480</xdr:rowOff>
                  </to>
                </anchor>
              </controlPr>
            </control>
          </mc:Choice>
        </mc:AlternateContent>
        <mc:AlternateContent xmlns:mc="http://schemas.openxmlformats.org/markup-compatibility/2006">
          <mc:Choice Requires="x14">
            <control shapeId="1072" r:id="rId9" name="Button 48">
              <controlPr defaultSize="0" print="0" autoFill="0" autoPict="0" macro="[0]!GoToDashboard">
                <anchor moveWithCells="1" sizeWithCells="1">
                  <from>
                    <xdr:col>1</xdr:col>
                    <xdr:colOff>762000</xdr:colOff>
                    <xdr:row>0</xdr:row>
                    <xdr:rowOff>152400</xdr:rowOff>
                  </from>
                  <to>
                    <xdr:col>3</xdr:col>
                    <xdr:colOff>403860</xdr:colOff>
                    <xdr:row>1</xdr:row>
                    <xdr:rowOff>220980</xdr:rowOff>
                  </to>
                </anchor>
              </controlPr>
            </control>
          </mc:Choice>
        </mc:AlternateContent>
        <mc:AlternateContent xmlns:mc="http://schemas.openxmlformats.org/markup-compatibility/2006">
          <mc:Choice Requires="x14">
            <control shapeId="1076" r:id="rId10" name="Check Box 52">
              <controlPr defaultSize="0" autoFill="0" autoLine="0" autoPict="0">
                <anchor moveWithCells="1">
                  <from>
                    <xdr:col>3</xdr:col>
                    <xdr:colOff>815340</xdr:colOff>
                    <xdr:row>5</xdr:row>
                    <xdr:rowOff>175260</xdr:rowOff>
                  </from>
                  <to>
                    <xdr:col>4</xdr:col>
                    <xdr:colOff>579120</xdr:colOff>
                    <xdr:row>7</xdr:row>
                    <xdr:rowOff>30480</xdr:rowOff>
                  </to>
                </anchor>
              </controlPr>
            </control>
          </mc:Choice>
        </mc:AlternateContent>
        <mc:AlternateContent xmlns:mc="http://schemas.openxmlformats.org/markup-compatibility/2006">
          <mc:Choice Requires="x14">
            <control shapeId="1077" r:id="rId11" name="Check Box 53">
              <controlPr defaultSize="0" autoFill="0" autoLine="0" autoPict="0">
                <anchor moveWithCells="1">
                  <from>
                    <xdr:col>4</xdr:col>
                    <xdr:colOff>0</xdr:colOff>
                    <xdr:row>7</xdr:row>
                    <xdr:rowOff>175260</xdr:rowOff>
                  </from>
                  <to>
                    <xdr:col>5</xdr:col>
                    <xdr:colOff>0</xdr:colOff>
                    <xdr:row>9</xdr:row>
                    <xdr:rowOff>30480</xdr:rowOff>
                  </to>
                </anchor>
              </controlPr>
            </control>
          </mc:Choice>
        </mc:AlternateContent>
        <mc:AlternateContent xmlns:mc="http://schemas.openxmlformats.org/markup-compatibility/2006">
          <mc:Choice Requires="x14">
            <control shapeId="1078" r:id="rId12" name="Check Box 54">
              <controlPr defaultSize="0" autoFill="0" autoLine="0" autoPict="0">
                <anchor moveWithCells="1">
                  <from>
                    <xdr:col>4</xdr:col>
                    <xdr:colOff>0</xdr:colOff>
                    <xdr:row>6</xdr:row>
                    <xdr:rowOff>182880</xdr:rowOff>
                  </from>
                  <to>
                    <xdr:col>5</xdr:col>
                    <xdr:colOff>0</xdr:colOff>
                    <xdr:row>8</xdr:row>
                    <xdr:rowOff>38100</xdr:rowOff>
                  </to>
                </anchor>
              </controlPr>
            </control>
          </mc:Choice>
        </mc:AlternateContent>
        <mc:AlternateContent xmlns:mc="http://schemas.openxmlformats.org/markup-compatibility/2006">
          <mc:Choice Requires="x14">
            <control shapeId="1079" r:id="rId13" name="Check Box 55">
              <controlPr defaultSize="0" autoFill="0" autoLine="0" autoPict="0">
                <anchor moveWithCells="1">
                  <from>
                    <xdr:col>4</xdr:col>
                    <xdr:colOff>0</xdr:colOff>
                    <xdr:row>8</xdr:row>
                    <xdr:rowOff>175260</xdr:rowOff>
                  </from>
                  <to>
                    <xdr:col>5</xdr:col>
                    <xdr:colOff>7620</xdr:colOff>
                    <xdr:row>10</xdr:row>
                    <xdr:rowOff>22860</xdr:rowOff>
                  </to>
                </anchor>
              </controlPr>
            </control>
          </mc:Choice>
        </mc:AlternateContent>
        <mc:AlternateContent xmlns:mc="http://schemas.openxmlformats.org/markup-compatibility/2006">
          <mc:Choice Requires="x14">
            <control shapeId="1080" r:id="rId14" name="Check Box 56">
              <controlPr defaultSize="0" autoFill="0" autoLine="0" autoPict="0">
                <anchor moveWithCells="1">
                  <from>
                    <xdr:col>4</xdr:col>
                    <xdr:colOff>0</xdr:colOff>
                    <xdr:row>11</xdr:row>
                    <xdr:rowOff>175260</xdr:rowOff>
                  </from>
                  <to>
                    <xdr:col>5</xdr:col>
                    <xdr:colOff>0</xdr:colOff>
                    <xdr:row>13</xdr:row>
                    <xdr:rowOff>30480</xdr:rowOff>
                  </to>
                </anchor>
              </controlPr>
            </control>
          </mc:Choice>
        </mc:AlternateContent>
        <mc:AlternateContent xmlns:mc="http://schemas.openxmlformats.org/markup-compatibility/2006">
          <mc:Choice Requires="x14">
            <control shapeId="1081" r:id="rId15" name="Check Box 57">
              <controlPr defaultSize="0" autoFill="0" autoLine="0" autoPict="0">
                <anchor moveWithCells="1">
                  <from>
                    <xdr:col>4</xdr:col>
                    <xdr:colOff>7620</xdr:colOff>
                    <xdr:row>9</xdr:row>
                    <xdr:rowOff>175260</xdr:rowOff>
                  </from>
                  <to>
                    <xdr:col>5</xdr:col>
                    <xdr:colOff>7620</xdr:colOff>
                    <xdr:row>11</xdr:row>
                    <xdr:rowOff>30480</xdr:rowOff>
                  </to>
                </anchor>
              </controlPr>
            </control>
          </mc:Choice>
        </mc:AlternateContent>
        <mc:AlternateContent xmlns:mc="http://schemas.openxmlformats.org/markup-compatibility/2006">
          <mc:Choice Requires="x14">
            <control shapeId="1082" r:id="rId16" name="Check Box 58">
              <controlPr defaultSize="0" autoFill="0" autoLine="0" autoPict="0">
                <anchor moveWithCells="1">
                  <from>
                    <xdr:col>4</xdr:col>
                    <xdr:colOff>7620</xdr:colOff>
                    <xdr:row>10</xdr:row>
                    <xdr:rowOff>182880</xdr:rowOff>
                  </from>
                  <to>
                    <xdr:col>5</xdr:col>
                    <xdr:colOff>7620</xdr:colOff>
                    <xdr:row>12</xdr:row>
                    <xdr:rowOff>38100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4</xdr:col>
                    <xdr:colOff>0</xdr:colOff>
                    <xdr:row>12</xdr:row>
                    <xdr:rowOff>175260</xdr:rowOff>
                  </from>
                  <to>
                    <xdr:col>5</xdr:col>
                    <xdr:colOff>22860</xdr:colOff>
                    <xdr:row>14</xdr:row>
                    <xdr:rowOff>30480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4</xdr:col>
                    <xdr:colOff>0</xdr:colOff>
                    <xdr:row>13</xdr:row>
                    <xdr:rowOff>175260</xdr:rowOff>
                  </from>
                  <to>
                    <xdr:col>5</xdr:col>
                    <xdr:colOff>0</xdr:colOff>
                    <xdr:row>15</xdr:row>
                    <xdr:rowOff>22860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4</xdr:col>
                    <xdr:colOff>0</xdr:colOff>
                    <xdr:row>14</xdr:row>
                    <xdr:rowOff>152400</xdr:rowOff>
                  </from>
                  <to>
                    <xdr:col>5</xdr:col>
                    <xdr:colOff>0</xdr:colOff>
                    <xdr:row>16</xdr:row>
                    <xdr:rowOff>7620</xdr:rowOff>
                  </to>
                </anchor>
              </controlPr>
            </control>
          </mc:Choice>
        </mc:AlternateContent>
      </controls>
    </mc:Choice>
  </mc:AlternateContent>
  <tableParts count="2">
    <tablePart r:id="rId20"/>
    <tablePart r:id="rId2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tabColor theme="9" tint="-0.499984740745262"/>
  </sheetPr>
  <dimension ref="A1:Q29"/>
  <sheetViews>
    <sheetView zoomScale="88" zoomScaleNormal="75" workbookViewId="0">
      <selection activeCell="E39" sqref="E39"/>
    </sheetView>
  </sheetViews>
  <sheetFormatPr defaultRowHeight="14.4" x14ac:dyDescent="0.3"/>
  <cols>
    <col min="1" max="1" width="17" bestFit="1" customWidth="1"/>
    <col min="2" max="2" width="15.5546875" bestFit="1" customWidth="1"/>
    <col min="3" max="3" width="13.33203125" bestFit="1" customWidth="1"/>
    <col min="4" max="4" width="13.5546875" style="4" customWidth="1"/>
    <col min="5" max="5" width="9" bestFit="1" customWidth="1"/>
    <col min="6" max="6" width="10.6640625" bestFit="1" customWidth="1"/>
    <col min="7" max="7" width="15.5546875" style="4" bestFit="1" customWidth="1"/>
    <col min="8" max="8" width="12.5546875" customWidth="1"/>
    <col min="9" max="9" width="21.6640625" customWidth="1"/>
    <col min="10" max="11" width="10.44140625" customWidth="1"/>
    <col min="13" max="13" width="13.109375" customWidth="1"/>
    <col min="14" max="14" width="12" customWidth="1"/>
    <col min="15" max="15" width="14.33203125" customWidth="1"/>
    <col min="16" max="16" width="14.109375" style="4" customWidth="1"/>
  </cols>
  <sheetData>
    <row r="1" spans="1:17" s="8" customFormat="1" x14ac:dyDescent="0.3">
      <c r="D1" s="10"/>
      <c r="G1" s="10"/>
      <c r="P1" s="10"/>
    </row>
    <row r="2" spans="1:17" s="8" customFormat="1" ht="31.2" x14ac:dyDescent="0.6">
      <c r="A2" s="11" t="s">
        <v>28</v>
      </c>
      <c r="D2" s="10"/>
      <c r="G2" s="10"/>
      <c r="P2" s="10"/>
    </row>
    <row r="3" spans="1:17" x14ac:dyDescent="0.3">
      <c r="A3" t="s">
        <v>0</v>
      </c>
      <c r="B3" t="s">
        <v>10</v>
      </c>
      <c r="C3" t="s">
        <v>2</v>
      </c>
      <c r="D3" s="4" t="s">
        <v>3</v>
      </c>
      <c r="G3" s="4" t="s">
        <v>24</v>
      </c>
      <c r="H3" t="s">
        <v>0</v>
      </c>
      <c r="I3" t="s">
        <v>26</v>
      </c>
      <c r="O3" t="s">
        <v>15</v>
      </c>
      <c r="P3" s="4" t="s">
        <v>16</v>
      </c>
    </row>
    <row r="4" spans="1:17" x14ac:dyDescent="0.3">
      <c r="A4" s="1">
        <v>44481</v>
      </c>
      <c r="B4" t="s">
        <v>35</v>
      </c>
      <c r="C4" t="s">
        <v>36</v>
      </c>
      <c r="D4" s="4">
        <v>1500</v>
      </c>
      <c r="G4" s="4">
        <v>1200</v>
      </c>
      <c r="H4" s="1">
        <v>45638</v>
      </c>
      <c r="I4" s="1" t="str">
        <f t="shared" ref="I4:I26" si="0">IF($G4 &lt;= $D$29-P12, "Achieved!", "Not Yet!")</f>
        <v>Achieved!</v>
      </c>
      <c r="O4" t="str">
        <f>Expenses!$K$4</f>
        <v>Bills</v>
      </c>
      <c r="P4" s="4">
        <f>Expenses!$L$4</f>
        <v>0</v>
      </c>
    </row>
    <row r="5" spans="1:17" x14ac:dyDescent="0.3">
      <c r="A5" s="1">
        <v>44513</v>
      </c>
      <c r="B5" t="s">
        <v>41</v>
      </c>
      <c r="C5" t="s">
        <v>36</v>
      </c>
      <c r="D5" s="4">
        <v>1500</v>
      </c>
      <c r="G5" s="4">
        <v>10000</v>
      </c>
      <c r="H5" s="1">
        <v>45271</v>
      </c>
      <c r="I5" s="1" t="str">
        <f t="shared" si="0"/>
        <v>Not Yet!</v>
      </c>
      <c r="O5" t="str">
        <f>Expenses!$K$5</f>
        <v>Entertainment</v>
      </c>
      <c r="P5" s="4">
        <f>Expenses!$L$5</f>
        <v>25</v>
      </c>
    </row>
    <row r="6" spans="1:17" x14ac:dyDescent="0.3">
      <c r="A6" s="1">
        <v>38726</v>
      </c>
      <c r="B6" t="s">
        <v>42</v>
      </c>
      <c r="C6" t="s">
        <v>43</v>
      </c>
      <c r="D6" s="4">
        <v>200</v>
      </c>
      <c r="G6" s="4">
        <v>13000</v>
      </c>
      <c r="H6" s="1">
        <v>45629</v>
      </c>
      <c r="I6" s="1" t="str">
        <f t="shared" si="0"/>
        <v>Not Yet!</v>
      </c>
      <c r="O6" t="str">
        <f>Expenses!$K$6</f>
        <v>Tuition</v>
      </c>
      <c r="P6" s="4">
        <f>Expenses!$L$6</f>
        <v>0</v>
      </c>
    </row>
    <row r="7" spans="1:17" x14ac:dyDescent="0.3">
      <c r="I7" s="1" t="str">
        <f t="shared" si="0"/>
        <v>Achieved!</v>
      </c>
      <c r="O7" t="str">
        <f>Expenses!$K$7</f>
        <v>Utilities</v>
      </c>
      <c r="P7" s="4">
        <f>Expenses!$L$7</f>
        <v>0</v>
      </c>
    </row>
    <row r="8" spans="1:17" x14ac:dyDescent="0.3">
      <c r="I8" s="1" t="str">
        <f t="shared" si="0"/>
        <v>Achieved!</v>
      </c>
      <c r="O8" t="str">
        <f>Expenses!$K$8</f>
        <v>Rent</v>
      </c>
      <c r="P8" s="4">
        <f>Expenses!$L$8</f>
        <v>0</v>
      </c>
    </row>
    <row r="9" spans="1:17" x14ac:dyDescent="0.3">
      <c r="I9" s="1" t="str">
        <f t="shared" si="0"/>
        <v>Achieved!</v>
      </c>
      <c r="O9" t="str">
        <f>Expenses!$K$10</f>
        <v>Shopping</v>
      </c>
      <c r="P9" s="4">
        <f>Expenses!$L$10</f>
        <v>100</v>
      </c>
    </row>
    <row r="10" spans="1:17" x14ac:dyDescent="0.3">
      <c r="I10" s="1" t="str">
        <f t="shared" si="0"/>
        <v>Achieved!</v>
      </c>
      <c r="O10" t="str">
        <f>Expenses!$K$11</f>
        <v>Other</v>
      </c>
      <c r="P10" s="4">
        <f>Expenses!$L$11</f>
        <v>0</v>
      </c>
    </row>
    <row r="11" spans="1:17" x14ac:dyDescent="0.3">
      <c r="I11" s="1" t="str">
        <f t="shared" si="0"/>
        <v>Achieved!</v>
      </c>
    </row>
    <row r="12" spans="1:17" x14ac:dyDescent="0.3">
      <c r="I12" s="1" t="str">
        <f t="shared" si="0"/>
        <v>Achieved!</v>
      </c>
      <c r="O12" s="15" t="s">
        <v>25</v>
      </c>
      <c r="P12" s="16">
        <f>SUM(P4:P10)</f>
        <v>125</v>
      </c>
    </row>
    <row r="13" spans="1:17" x14ac:dyDescent="0.3">
      <c r="I13" s="1" t="str">
        <f t="shared" si="0"/>
        <v>Achieved!</v>
      </c>
      <c r="P13"/>
      <c r="Q13" s="4"/>
    </row>
    <row r="14" spans="1:17" x14ac:dyDescent="0.3">
      <c r="I14" s="1" t="str">
        <f t="shared" si="0"/>
        <v>Achieved!</v>
      </c>
      <c r="P14"/>
      <c r="Q14" s="4"/>
    </row>
    <row r="15" spans="1:17" x14ac:dyDescent="0.3">
      <c r="I15" s="1" t="str">
        <f t="shared" si="0"/>
        <v>Achieved!</v>
      </c>
      <c r="P15"/>
      <c r="Q15" s="4"/>
    </row>
    <row r="16" spans="1:17" x14ac:dyDescent="0.3">
      <c r="I16" s="1" t="str">
        <f t="shared" si="0"/>
        <v>Achieved!</v>
      </c>
      <c r="P16"/>
      <c r="Q16" s="4"/>
    </row>
    <row r="17" spans="3:17" x14ac:dyDescent="0.3">
      <c r="I17" s="1" t="str">
        <f t="shared" si="0"/>
        <v>Achieved!</v>
      </c>
      <c r="P17"/>
      <c r="Q17" s="4"/>
    </row>
    <row r="18" spans="3:17" x14ac:dyDescent="0.3">
      <c r="I18" s="1" t="str">
        <f t="shared" si="0"/>
        <v>Achieved!</v>
      </c>
      <c r="P18"/>
      <c r="Q18" s="4"/>
    </row>
    <row r="19" spans="3:17" x14ac:dyDescent="0.3">
      <c r="I19" s="1" t="str">
        <f t="shared" si="0"/>
        <v>Achieved!</v>
      </c>
      <c r="P19"/>
      <c r="Q19" s="4"/>
    </row>
    <row r="20" spans="3:17" x14ac:dyDescent="0.3">
      <c r="I20" s="1" t="str">
        <f t="shared" si="0"/>
        <v>Achieved!</v>
      </c>
      <c r="P20"/>
      <c r="Q20" s="4"/>
    </row>
    <row r="21" spans="3:17" x14ac:dyDescent="0.3">
      <c r="I21" s="1" t="str">
        <f t="shared" si="0"/>
        <v>Achieved!</v>
      </c>
      <c r="P21"/>
      <c r="Q21" s="4"/>
    </row>
    <row r="22" spans="3:17" x14ac:dyDescent="0.3">
      <c r="I22" s="1" t="str">
        <f t="shared" si="0"/>
        <v>Achieved!</v>
      </c>
      <c r="P22"/>
      <c r="Q22" s="4"/>
    </row>
    <row r="23" spans="3:17" x14ac:dyDescent="0.3">
      <c r="I23" s="1" t="str">
        <f t="shared" si="0"/>
        <v>Achieved!</v>
      </c>
      <c r="P23"/>
      <c r="Q23" s="4"/>
    </row>
    <row r="24" spans="3:17" x14ac:dyDescent="0.3">
      <c r="I24" s="1" t="str">
        <f t="shared" si="0"/>
        <v>Achieved!</v>
      </c>
      <c r="P24"/>
      <c r="Q24" s="4"/>
    </row>
    <row r="25" spans="3:17" x14ac:dyDescent="0.3">
      <c r="I25" s="1" t="str">
        <f t="shared" si="0"/>
        <v>Achieved!</v>
      </c>
      <c r="P25"/>
      <c r="Q25" s="4"/>
    </row>
    <row r="26" spans="3:17" x14ac:dyDescent="0.3">
      <c r="I26" s="1" t="str">
        <f t="shared" si="0"/>
        <v>Achieved!</v>
      </c>
      <c r="P26"/>
      <c r="Q26" s="4"/>
    </row>
    <row r="29" spans="3:17" x14ac:dyDescent="0.3">
      <c r="C29" t="s">
        <v>27</v>
      </c>
      <c r="D29" s="4">
        <f>SUM(income_table[Description])</f>
        <v>3200</v>
      </c>
      <c r="G29" s="4" t="s">
        <v>29</v>
      </c>
      <c r="H29" s="4">
        <f>SUM(goals_table[Monetary Goal])</f>
        <v>24200</v>
      </c>
    </row>
  </sheetData>
  <phoneticPr fontId="2" type="noConversion"/>
  <conditionalFormatting sqref="I4:I1048576">
    <cfRule type="expression" dxfId="7" priority="1">
      <formula>I4="Achieved!"</formula>
    </cfRule>
    <cfRule type="expression" dxfId="6" priority="2">
      <formula>I4="Not yet!"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learGoalTable">
                <anchor moveWithCells="1" sizeWithCells="1">
                  <from>
                    <xdr:col>9</xdr:col>
                    <xdr:colOff>388620</xdr:colOff>
                    <xdr:row>3</xdr:row>
                    <xdr:rowOff>38100</xdr:rowOff>
                  </from>
                  <to>
                    <xdr:col>12</xdr:col>
                    <xdr:colOff>533400</xdr:colOff>
                    <xdr:row>6</xdr:row>
                    <xdr:rowOff>68580</xdr:rowOff>
                  </to>
                </anchor>
              </controlPr>
            </control>
          </mc:Choice>
        </mc:AlternateContent>
        <mc:AlternateContent xmlns:mc="http://schemas.openxmlformats.org/markup-compatibility/2006">
          <mc:Choice Requires="x14">
            <control shapeId="4098" r:id="rId4" name="Button 2">
              <controlPr defaultSize="0" print="0" autoFill="0" autoPict="0" macro="[0]!ClearIncomeForm">
                <anchor moveWithCells="1" sizeWithCells="1">
                  <from>
                    <xdr:col>2</xdr:col>
                    <xdr:colOff>213360</xdr:colOff>
                    <xdr:row>34</xdr:row>
                    <xdr:rowOff>83820</xdr:rowOff>
                  </from>
                  <to>
                    <xdr:col>4</xdr:col>
                    <xdr:colOff>312420</xdr:colOff>
                    <xdr:row>37</xdr:row>
                    <xdr:rowOff>7620</xdr:rowOff>
                  </to>
                </anchor>
              </controlPr>
            </control>
          </mc:Choice>
        </mc:AlternateContent>
        <mc:AlternateContent xmlns:mc="http://schemas.openxmlformats.org/markup-compatibility/2006">
          <mc:Choice Requires="x14">
            <control shapeId="4099" r:id="rId5" name="Button 3">
              <controlPr defaultSize="0" print="0" autoFill="0" autoPict="0" macro="[0]!GoToDashboard">
                <anchor moveWithCells="1" sizeWithCells="1">
                  <from>
                    <xdr:col>2</xdr:col>
                    <xdr:colOff>228600</xdr:colOff>
                    <xdr:row>1</xdr:row>
                    <xdr:rowOff>7620</xdr:rowOff>
                  </from>
                  <to>
                    <xdr:col>3</xdr:col>
                    <xdr:colOff>861060</xdr:colOff>
                    <xdr:row>1</xdr:row>
                    <xdr:rowOff>266700</xdr:rowOff>
                  </to>
                </anchor>
              </controlPr>
            </control>
          </mc:Choice>
        </mc:AlternateContent>
      </controls>
    </mc:Choice>
  </mc:AlternateContent>
  <tableParts count="3">
    <tablePart r:id="rId6"/>
    <tablePart r:id="rId7"/>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B44FD-8C46-4D7B-93EC-A46ECE125CC3}">
  <sheetPr codeName="Sheet2">
    <tabColor theme="9" tint="-0.499984740745262"/>
  </sheetPr>
  <dimension ref="A1:C13"/>
  <sheetViews>
    <sheetView workbookViewId="0">
      <selection activeCell="J27" sqref="J27"/>
    </sheetView>
  </sheetViews>
  <sheetFormatPr defaultRowHeight="14.4" x14ac:dyDescent="0.3"/>
  <cols>
    <col min="1" max="1" width="12.88671875" customWidth="1"/>
    <col min="2" max="2" width="19.5546875" style="4" customWidth="1"/>
    <col min="3" max="3" width="18.33203125" customWidth="1"/>
  </cols>
  <sheetData>
    <row r="1" spans="1:3" s="19" customFormat="1" x14ac:dyDescent="0.3">
      <c r="B1" s="30"/>
    </row>
    <row r="2" spans="1:3" s="19" customFormat="1" ht="28.8" x14ac:dyDescent="0.55000000000000004">
      <c r="A2" s="20" t="s">
        <v>37</v>
      </c>
      <c r="B2" s="30"/>
    </row>
    <row r="3" spans="1:3" x14ac:dyDescent="0.3">
      <c r="A3" t="s">
        <v>2</v>
      </c>
      <c r="B3" s="4" t="s">
        <v>38</v>
      </c>
      <c r="C3" t="s">
        <v>39</v>
      </c>
    </row>
    <row r="4" spans="1:3" x14ac:dyDescent="0.3">
      <c r="A4" s="33" t="s">
        <v>6</v>
      </c>
      <c r="B4" s="4">
        <v>15</v>
      </c>
      <c r="C4" s="29">
        <v>0</v>
      </c>
    </row>
    <row r="5" spans="1:3" x14ac:dyDescent="0.3">
      <c r="A5" s="22" t="s">
        <v>5</v>
      </c>
      <c r="B5" s="4">
        <v>200</v>
      </c>
      <c r="C5" s="29">
        <v>25</v>
      </c>
    </row>
    <row r="6" spans="1:3" x14ac:dyDescent="0.3">
      <c r="A6" s="33" t="s">
        <v>21</v>
      </c>
      <c r="B6" s="4">
        <v>1300</v>
      </c>
      <c r="C6" s="29">
        <v>0</v>
      </c>
    </row>
    <row r="7" spans="1:3" x14ac:dyDescent="0.3">
      <c r="A7" s="22" t="s">
        <v>22</v>
      </c>
      <c r="B7" s="4">
        <v>15</v>
      </c>
      <c r="C7" s="29">
        <v>0</v>
      </c>
    </row>
    <row r="8" spans="1:3" x14ac:dyDescent="0.3">
      <c r="A8" s="33" t="s">
        <v>23</v>
      </c>
      <c r="B8" s="4">
        <v>200</v>
      </c>
      <c r="C8" s="29">
        <v>0</v>
      </c>
    </row>
    <row r="9" spans="1:3" x14ac:dyDescent="0.3">
      <c r="A9" s="23" t="s">
        <v>32</v>
      </c>
      <c r="B9" s="4">
        <v>100</v>
      </c>
      <c r="C9" s="29">
        <v>12</v>
      </c>
    </row>
    <row r="10" spans="1:3" x14ac:dyDescent="0.3">
      <c r="A10" s="33" t="s">
        <v>17</v>
      </c>
      <c r="B10" s="4">
        <v>100</v>
      </c>
      <c r="C10" s="29">
        <v>100</v>
      </c>
    </row>
    <row r="11" spans="1:3" x14ac:dyDescent="0.3">
      <c r="A11" s="23" t="s">
        <v>18</v>
      </c>
      <c r="B11" s="4">
        <v>75</v>
      </c>
      <c r="C11" s="29">
        <v>0</v>
      </c>
    </row>
    <row r="13" spans="1:3" x14ac:dyDescent="0.3">
      <c r="A13" s="34" t="s">
        <v>40</v>
      </c>
      <c r="B13" s="31">
        <f>SUM(ExpectedSpendingTable[Expected Spending])</f>
        <v>2005</v>
      </c>
      <c r="C13" s="32">
        <f>SUM(ExpectedSpendingTable[Actual Spending])</f>
        <v>137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oToDashboard">
                <anchor moveWithCells="1" sizeWithCells="1">
                  <from>
                    <xdr:col>4</xdr:col>
                    <xdr:colOff>563880</xdr:colOff>
                    <xdr:row>1</xdr:row>
                    <xdr:rowOff>7620</xdr:rowOff>
                  </from>
                  <to>
                    <xdr:col>7</xdr:col>
                    <xdr:colOff>251460</xdr:colOff>
                    <xdr:row>1</xdr:row>
                    <xdr:rowOff>266700</xdr:rowOff>
                  </to>
                </anchor>
              </controlPr>
            </control>
          </mc:Choice>
        </mc:AlternateContent>
        <mc:AlternateContent xmlns:mc="http://schemas.openxmlformats.org/markup-compatibility/2006">
          <mc:Choice Requires="x14">
            <control shapeId="11267" r:id="rId4" name="Button 3">
              <controlPr defaultSize="0" print="0" autoFill="0" autoPict="0" macro="[0]!ShowExpectedSpendingForm">
                <anchor moveWithCells="1">
                  <from>
                    <xdr:col>3</xdr:col>
                    <xdr:colOff>594360</xdr:colOff>
                    <xdr:row>3</xdr:row>
                    <xdr:rowOff>7620</xdr:rowOff>
                  </from>
                  <to>
                    <xdr:col>6</xdr:col>
                    <xdr:colOff>579120</xdr:colOff>
                    <xdr:row>5</xdr:row>
                    <xdr:rowOff>121920</xdr:rowOff>
                  </to>
                </anchor>
              </controlPr>
            </control>
          </mc:Choice>
        </mc:AlternateContent>
        <mc:AlternateContent xmlns:mc="http://schemas.openxmlformats.org/markup-compatibility/2006">
          <mc:Choice Requires="x14">
            <control shapeId="11268" r:id="rId5" name="Button 4">
              <controlPr defaultSize="0" print="0" autoFill="0" autoPict="0" macro="[0]!ClearExpectedSpendings">
                <anchor moveWithCells="1" sizeWithCells="1">
                  <from>
                    <xdr:col>4</xdr:col>
                    <xdr:colOff>7620</xdr:colOff>
                    <xdr:row>7</xdr:row>
                    <xdr:rowOff>7620</xdr:rowOff>
                  </from>
                  <to>
                    <xdr:col>6</xdr:col>
                    <xdr:colOff>601980</xdr:colOff>
                    <xdr:row>9</xdr:row>
                    <xdr:rowOff>30480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ABF3-2254-4FD4-BF40-FBA7A23721CE}">
  <sheetPr codeName="Sheet3">
    <tabColor theme="9" tint="-0.499984740745262"/>
  </sheetPr>
  <dimension ref="A1:A2"/>
  <sheetViews>
    <sheetView workbookViewId="0">
      <selection activeCell="M37" sqref="M37"/>
    </sheetView>
  </sheetViews>
  <sheetFormatPr defaultRowHeight="14.4" x14ac:dyDescent="0.3"/>
  <cols>
    <col min="1" max="1" width="15.44140625" bestFit="1" customWidth="1"/>
  </cols>
  <sheetData>
    <row r="1" spans="1:1" s="8" customFormat="1" x14ac:dyDescent="0.3"/>
    <row r="2" spans="1:1" s="8" customFormat="1" ht="33.6" x14ac:dyDescent="0.65">
      <c r="A2" s="9" t="s">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Button 4">
              <controlPr defaultSize="0" print="0" autoFill="0" autoPict="0" macro="[0]!GoToDashboard">
                <anchor moveWithCells="1" sizeWithCells="1">
                  <from>
                    <xdr:col>3</xdr:col>
                    <xdr:colOff>297180</xdr:colOff>
                    <xdr:row>1</xdr:row>
                    <xdr:rowOff>7620</xdr:rowOff>
                  </from>
                  <to>
                    <xdr:col>5</xdr:col>
                    <xdr:colOff>594360</xdr:colOff>
                    <xdr:row>1</xdr:row>
                    <xdr:rowOff>266700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activity xmlns="848015fe-c902-4d25-bed5-76e6ac34627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40DC88F4FDF2141965DC0EC4ABC1EC1" ma:contentTypeVersion="6" ma:contentTypeDescription="Create a new document." ma:contentTypeScope="" ma:versionID="5b0a5ee38002e342cfab00b4ffebe43e">
  <xsd:schema xmlns:xsd="http://www.w3.org/2001/XMLSchema" xmlns:xs="http://www.w3.org/2001/XMLSchema" xmlns:p="http://schemas.microsoft.com/office/2006/metadata/properties" xmlns:ns3="848015fe-c902-4d25-bed5-76e6ac34627d" targetNamespace="http://schemas.microsoft.com/office/2006/metadata/properties" ma:root="true" ma:fieldsID="7dfb53bb1ae9b188b7c5887ff52575b7" ns3:_="">
    <xsd:import namespace="848015fe-c902-4d25-bed5-76e6ac34627d"/>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8015fe-c902-4d25-bed5-76e6ac34627d"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D68136-AE6A-4E02-A003-E3AD3C38324E}">
  <ds:schemaRefs>
    <ds:schemaRef ds:uri="http://schemas.microsoft.com/DataMashup"/>
  </ds:schemaRefs>
</ds:datastoreItem>
</file>

<file path=customXml/itemProps2.xml><?xml version="1.0" encoding="utf-8"?>
<ds:datastoreItem xmlns:ds="http://schemas.openxmlformats.org/officeDocument/2006/customXml" ds:itemID="{11EFF735-D625-4A91-91D3-D8AC1CA2884C}">
  <ds:schemaRefs>
    <ds:schemaRef ds:uri="http://schemas.microsoft.com/office/2006/documentManagement/types"/>
    <ds:schemaRef ds:uri="http://purl.org/dc/terms/"/>
    <ds:schemaRef ds:uri="http://purl.org/dc/dcmitype/"/>
    <ds:schemaRef ds:uri="848015fe-c902-4d25-bed5-76e6ac34627d"/>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2F8C7C0E-496E-4CFC-9314-899B5FFD55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8015fe-c902-4d25-bed5-76e6ac34627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F5BF1E7-AB1F-4F81-A675-581015BCADBC}">
  <ds:schemaRefs>
    <ds:schemaRef ds:uri="http://schemas.microsoft.com/sharepoint/v3/contenttype/forms"/>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Expenses</vt:lpstr>
      <vt:lpstr>Income&amp;Goals</vt:lpstr>
      <vt:lpstr>Expected Spending</vt:lpstr>
      <vt:lpstr>Financial Advice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Tiara Lanson</cp:lastModifiedBy>
  <cp:revision/>
  <dcterms:created xsi:type="dcterms:W3CDTF">2021-10-13T18:04:27Z</dcterms:created>
  <dcterms:modified xsi:type="dcterms:W3CDTF">2024-11-28T22:36:07Z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0x010100240DC88F4FDF2141965DC0EC4ABC1EC1</vt:lpwstr>
  </property>
</Properties>
</file>